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CCL\Arnab\AI\rdburman-tribute\public\"/>
    </mc:Choice>
  </mc:AlternateContent>
  <xr:revisionPtr revIDLastSave="0" documentId="13_ncr:9_{9D3C036D-DC05-4D2D-8888-3771673C0BEB}" xr6:coauthVersionLast="47" xr6:coauthVersionMax="47" xr10:uidLastSave="{00000000-0000-0000-0000-000000000000}"/>
  <bookViews>
    <workbookView xWindow="-110" yWindow="-110" windowWidth="19420" windowHeight="10300" xr2:uid="{3A21A6D9-DD10-4643-AD51-1A16257975FD}"/>
  </bookViews>
  <sheets>
    <sheet name="youtube_video_data" sheetId="1" r:id="rId1"/>
    <sheet name="Sheet1" sheetId="2" r:id="rId2"/>
    <sheet name="Sheet2" sheetId="3" r:id="rId3"/>
  </sheets>
  <externalReferences>
    <externalReference r:id="rId4"/>
  </externalReferences>
  <calcPr calcId="0"/>
</workbook>
</file>

<file path=xl/calcChain.xml><?xml version="1.0" encoding="utf-8"?>
<calcChain xmlns="http://schemas.openxmlformats.org/spreadsheetml/2006/main">
  <c r="E17" i="1" l="1"/>
  <c r="D24" i="1"/>
  <c r="D25" i="1"/>
  <c r="D26" i="1"/>
  <c r="D27" i="1"/>
  <c r="D28" i="1"/>
  <c r="D29" i="1"/>
  <c r="D30" i="1"/>
  <c r="D31" i="1"/>
  <c r="D32" i="1"/>
  <c r="D33" i="1"/>
  <c r="D34" i="1"/>
  <c r="D35" i="1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" i="3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50" i="1"/>
  <c r="D51" i="1"/>
  <c r="D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<sst xmlns="http://schemas.openxmlformats.org/spreadsheetml/2006/main" count="444" uniqueCount="305">
  <si>
    <t>Video ID</t>
  </si>
  <si>
    <t>Title</t>
  </si>
  <si>
    <t>honflNZTKHk</t>
  </si>
  <si>
    <t>Instrumental - Deewaar (1975) - 'I'm Falling In Love With A Stranger'</t>
  </si>
  <si>
    <t>uQvOHHGrMjg</t>
  </si>
  <si>
    <t>*****R.D.BURMAN BOSS Special***** SAAGAR Theme*** H D audio</t>
  </si>
  <si>
    <t>pHJiYu69C4c</t>
  </si>
  <si>
    <t>Babu (henchman) entry | Unique background music | Gargling | Anette Pinto | R D Burman</t>
  </si>
  <si>
    <t>PBLmRYnFs7E</t>
  </si>
  <si>
    <t>Chase Music of Film Arjun 1985 ||MUSIC by R  D  Burman</t>
  </si>
  <si>
    <t>CpYuH4Cc8Mk</t>
  </si>
  <si>
    <t>C1w6p3TEVxI</t>
  </si>
  <si>
    <t>WaCRlPUPLhk</t>
  </si>
  <si>
    <t>PleWU2pdK-I</t>
  </si>
  <si>
    <t>xkQpfIMj1UE</t>
  </si>
  <si>
    <t>flFE-ps5yYo</t>
  </si>
  <si>
    <t>tC11eSDHobE</t>
  </si>
  <si>
    <t>2fUVcrMA8Dg</t>
  </si>
  <si>
    <t>0VbyQ5tdavI</t>
  </si>
  <si>
    <t>iaLmf7L-B24</t>
  </si>
  <si>
    <t>RscsV4uuetw</t>
  </si>
  <si>
    <t>ADYDEx1pvEg</t>
  </si>
  <si>
    <t>PZzK3CVzLKo</t>
  </si>
  <si>
    <t>wVlsl3QXwKU</t>
  </si>
  <si>
    <t>M_mA1M44Bwc</t>
  </si>
  <si>
    <t>t6iLjbkxBZo</t>
  </si>
  <si>
    <t>8t5Rt_LWmpE</t>
  </si>
  <si>
    <t>h34dmUw_yCQ</t>
  </si>
  <si>
    <t>kkTv_aUjd5Y</t>
  </si>
  <si>
    <t>wKnWL8-6qWA</t>
  </si>
  <si>
    <t>lu5MjHcy6Lg</t>
  </si>
  <si>
    <t>XI2P7HgHK9M</t>
  </si>
  <si>
    <t>aWJc-cT12Mc</t>
  </si>
  <si>
    <t>UUHuIsaNTpM</t>
  </si>
  <si>
    <t>uj5OLjty0l4</t>
  </si>
  <si>
    <t>30rLo4X4aI0</t>
  </si>
  <si>
    <t>kT3rzroZSlw</t>
  </si>
  <si>
    <t>6GSUGstpEwY</t>
  </si>
  <si>
    <t>W29sLG5YEEU</t>
  </si>
  <si>
    <t>CuX6iBnHCog</t>
  </si>
  <si>
    <t>4yUauK-So28</t>
  </si>
  <si>
    <t>YQNb89xnKvQ</t>
  </si>
  <si>
    <t>LblLAQQV6ko</t>
  </si>
  <si>
    <t>STOM6NZfcrs</t>
  </si>
  <si>
    <t>XxbBN4AtFio</t>
  </si>
  <si>
    <t>WJyM13QI64E</t>
  </si>
  <si>
    <t>lplaAZBWiqY</t>
  </si>
  <si>
    <t>g7QUMWO4fNA</t>
  </si>
  <si>
    <t>SNKJ1kWP7nU</t>
  </si>
  <si>
    <t>5XjqrXpmLOI</t>
  </si>
  <si>
    <t>nhQuJuAyVlo</t>
  </si>
  <si>
    <t>qU3fSobl6Tg</t>
  </si>
  <si>
    <t>850bZDi_MD0</t>
  </si>
  <si>
    <t>T1NtFQHEZhQ</t>
  </si>
  <si>
    <t>wJ1mqmbngO0</t>
  </si>
  <si>
    <t>K-GPX2PzDKM</t>
  </si>
  <si>
    <t xml:space="preserve"> "https://youtube.com/playlist?list=PLt1_3oWrtFTOFpilXV5DEwZoxKjdXR6Ra&amp;si=bFkh3u6LiG3dssjF",</t>
  </si>
  <si>
    <t>https://youtu.be/sxvB0cCQBSg?si=nKHilaVWLS7HPpxw,</t>
  </si>
  <si>
    <t>https://youtu.be/uQvOHHGrMjg?si=tdRtS57yk-lMb4SH,</t>
  </si>
  <si>
    <t>https://youtu.be/pHJiYu69C4c?si=xskoVED0slaCnzR5,</t>
  </si>
  <si>
    <t>https://youtu.be/PBLmRYnFs7E?si=vSkvSgeTqBKEt3sO,</t>
  </si>
  <si>
    <t xml:space="preserve">    "https://youtu.be/CpYuH4Cc8Mk?si=qK5iGgqa3qsPRKH0",</t>
  </si>
  <si>
    <t xml:space="preserve">    "https://youtu.be/C1w6p3TEVxI?si=CkHwXCKJOBhZwWkK",</t>
  </si>
  <si>
    <t xml:space="preserve">    "https://youtu.be/WaCRlPUPLhk?si=Nq_DXLhf7aS2DjGu",</t>
  </si>
  <si>
    <t xml:space="preserve">    "https://youtu.be/PleWU2pdK-I?si=PK_rAjjC72uEVZrZ",</t>
  </si>
  <si>
    <t xml:space="preserve">    "https://youtu.be/xkQpfIMj1UE?si=RerH28vnO62xX_s6",</t>
  </si>
  <si>
    <t xml:space="preserve">    "https://youtu.be/flFE-ps5yYo?si=C90tKlW2S2fhkswP",</t>
  </si>
  <si>
    <t xml:space="preserve">    "https://youtu.be/tC11eSDHobE?si=LpParr0eIVJHpLeT",</t>
  </si>
  <si>
    <t xml:space="preserve">    "https://youtu.be/2fUVcrMA8Dg?si=bXt_fKwl3TEJiqiY",</t>
  </si>
  <si>
    <t xml:space="preserve">    "https://youtu.be/0VbyQ5tdavI?si=IP277RozQo8C-FBe",</t>
  </si>
  <si>
    <t xml:space="preserve">    "https://youtu.be/iaLmf7L-B24?si=YV8cIZJ5yHJUapXE",</t>
  </si>
  <si>
    <t xml:space="preserve">    "https://youtu.be/RscsV4uuetw?si=HUEUjhme8qBCWgTd",</t>
  </si>
  <si>
    <t xml:space="preserve">    "https://youtu.be/ADYDEx1pvEg?si=WKjpAxfpZMgEWOOy",</t>
  </si>
  <si>
    <t xml:space="preserve">    "https://youtu.be/PZzK3CVzLKo?si=y9ntwMjpZFCPp6dU",</t>
  </si>
  <si>
    <t xml:space="preserve">    "https://youtu.be/wVlsl3QXwKU?si=u-ReqZGUQX_0Gi36",</t>
  </si>
  <si>
    <t xml:space="preserve">    "https://youtu.be/M_mA1M44Bwc?si=wwIEDgVbo6a2_DoT",</t>
  </si>
  <si>
    <t xml:space="preserve">    "https://youtu.be/t6iLjbkxBZo?si=IZYjFNUaK22H1qlN",</t>
  </si>
  <si>
    <t xml:space="preserve">    "https://youtu.be/8t5Rt_LWmpE?si=cVRNkFxngFAPwxtq",</t>
  </si>
  <si>
    <t xml:space="preserve">    "https://youtu.be/h34dmUw_yCQ?si=kBKlVoNxUkzEiJy3",</t>
  </si>
  <si>
    <t xml:space="preserve">    "https://youtu.be/kkTv_aUjd5Y?si=TCkKvKpl_76ovFE8",</t>
  </si>
  <si>
    <t xml:space="preserve">    "https://youtu.be/wKnWL8-6qWA?si=SqpxOfrM2GfL3Zbr",</t>
  </si>
  <si>
    <t xml:space="preserve">    "https://youtu.be/lu5MjHcy6Lg?si=U_kUjhTdIKlHEPoE",</t>
  </si>
  <si>
    <t xml:space="preserve">    "https://youtu.be/XI2P7HgHK9M?si=dSGqPnPDrSF8l4r7",</t>
  </si>
  <si>
    <t xml:space="preserve">    "https://youtu.be/aWJc-cT12Mc?si=A7qUwE_j4Nn_6PNN",</t>
  </si>
  <si>
    <t xml:space="preserve">    "https://youtu.be/UUHuIsaNTpM?si=c6vz-9Yk28HIyiL_",</t>
  </si>
  <si>
    <t xml:space="preserve">    "https://youtu.be/uj5OLjty0l4?si=CBcss2RilACiME4U",</t>
  </si>
  <si>
    <t xml:space="preserve">    "https://youtu.be/30rLo4X4aI0?si=5z-mBemInLHG5BSY",</t>
  </si>
  <si>
    <t xml:space="preserve">    "https://youtu.be/kT3rzroZSlw?si=oLL7SB-Ta9bbokKH",</t>
  </si>
  <si>
    <t xml:space="preserve">    "https://youtu.be/6GSUGstpEwY?si=fv2IS9y7Ik5mZIUG",</t>
  </si>
  <si>
    <t xml:space="preserve">    "https://youtu.be/W29sLG5YEEU?si=jeD1MNKqRDtYo9AB",</t>
  </si>
  <si>
    <t xml:space="preserve">    "https://youtu.be/CuX6iBnHCog?si=EiQBJU1f7jSJnO5V",</t>
  </si>
  <si>
    <t xml:space="preserve">    "https://youtu.be/4yUauK-So28?si=SWzVaVGZ8Zv5mH_O",</t>
  </si>
  <si>
    <t xml:space="preserve">    "https://youtu.be/YQNb89xnKvQ?si=pyGPH6aMgEP0P8Kk",</t>
  </si>
  <si>
    <t xml:space="preserve">    "https://youtu.be/LblLAQQV6ko?si=-u1Xhzl87LyAqL1j",</t>
  </si>
  <si>
    <t xml:space="preserve">    "https://youtu.be/STOM6NZfcrs?si=gXLx-s67rWOO7HYm",</t>
  </si>
  <si>
    <t xml:space="preserve">    "https://youtu.be/XxbBN4AtFio?si=fc8UNPVlvOFWQnl7",</t>
  </si>
  <si>
    <t xml:space="preserve">    "https://youtu.be/WJyM13QI64E?si=0s3hgT9czCLz6uNY",</t>
  </si>
  <si>
    <t xml:space="preserve">    "https://youtu.be/lplaAZBWiqY?si=ZiIrD2b5F5RkKUMF",</t>
  </si>
  <si>
    <t xml:space="preserve">    "https://youtu.be/g7QUMWO4fNA?si=ICdygdScrCB_E7ji",</t>
  </si>
  <si>
    <t xml:space="preserve">    "https://youtu.be/SNKJ1kWP7nU?si=25sXKWWQSOD_NWvN",</t>
  </si>
  <si>
    <t xml:space="preserve">    "https://youtu.be/5XjqrXpmLOI?si=SqgTK_bD6ZbFCQYk",</t>
  </si>
  <si>
    <t xml:space="preserve">    "https://youtu.be/nhQuJuAyVlo?si=T0yl_Kydq9FeZR3X",</t>
  </si>
  <si>
    <t xml:space="preserve">    "https://youtu.be/qU3fSobl6Tg?si=-qD4ayWPRQ66kyvX",</t>
  </si>
  <si>
    <t xml:space="preserve">    "https://youtu.be/850bZDi_MD0?si=sQiLbdaGzzX1GcXh",</t>
  </si>
  <si>
    <t xml:space="preserve">    "https://youtu.be/T1NtFQHEZhQ?si=nYibiAj47Tvf7N07 ",</t>
  </si>
  <si>
    <t xml:space="preserve">    "https://youtu.be/wJ1mqmbngO0?si=Da6UhpFc_5WlyXh-",</t>
  </si>
  <si>
    <t xml:space="preserve">    "https://youtu.be/K-GPX2PzDKM?si=CujGtpU8GCbhp6KW"</t>
  </si>
  <si>
    <t xml:space="preserve">    "https://youtu.be/honflNZTKHk?si=hv9Hx8Mp2K5HNxDy",</t>
  </si>
  <si>
    <t>URL</t>
  </si>
  <si>
    <t>Rah Pe Rehte Hai | Namkeen ( 1982 )</t>
  </si>
  <si>
    <t>Aye Zindagi Hui Kahan Bhool Jiski  | (Namumkin 1988)</t>
  </si>
  <si>
    <t>Main Shayar Badnam | (Namak Haraam 1973)</t>
  </si>
  <si>
    <t>Mujhko Yuhi Udaas |  (Khushboo (1975)</t>
  </si>
  <si>
    <t>Na Jaane Din Kaise (Both Parts) | (Chala Murari Hero Banne 1977)</t>
  </si>
  <si>
    <t>Tumne Mujhe Dekha | (Teesri Manzil 1966)</t>
  </si>
  <si>
    <t>A Ri Pawan Dhunde Kise Tera Mann | ( Bemisaal 1982)</t>
  </si>
  <si>
    <t>Kisi Baat Pe Main Kisise Khafa Hoon | ( Bemisaal 1982)</t>
  </si>
  <si>
    <t>Sawan Ke Jhoole| (Jurmana 1979)</t>
  </si>
  <si>
    <t>Oh Hansini | (Zehreela Insaan 1974)</t>
  </si>
  <si>
    <t>Jidhar Dekhoon Teri Tasveer | (Mahaan 1983)</t>
  </si>
  <si>
    <t>KYA JAANU SAJAN HOTI HAI | (BAHARON KE SAPNE 1967)</t>
  </si>
  <si>
    <t>Katra Katra Milti Hai Katra Katra Jeene Do | (Ijaazat 1987)</t>
  </si>
  <si>
    <t xml:space="preserve">Dhanno Ki Aankhon Me | (Kitaab 1977) </t>
  </si>
  <si>
    <t>Masterji ki aa gayi chitthi | (Kitaab 1977)</t>
  </si>
  <si>
    <t>Subha Serial Title Song | (Subah 1987)</t>
  </si>
  <si>
    <t>Samundar Mein Nahake | (Pukar 1983)</t>
  </si>
  <si>
    <t>Phulon Ki Duniya Se | (Rickshawala 1973)</t>
  </si>
  <si>
    <t>Maine Kaha Zid Chhod | (Rickshawala 1973)</t>
  </si>
  <si>
    <t>Ek Baat Dil Mein Aayi Hai | (Rahi Badal Gaye 1984)</t>
  </si>
  <si>
    <t>Silli Hawa Chhoo Gai | Libaas</t>
  </si>
  <si>
    <t xml:space="preserve">Jahan Pe Savera Ho Basera | (Baseraa 1981) </t>
  </si>
  <si>
    <t>Kitne Sapne Kitne Armaan | (Mere Jeevan Saathi 1972)</t>
  </si>
  <si>
    <t>Jab Chaha Yaara Tumne |(Zabardast 1985)</t>
  </si>
  <si>
    <t>Pyar Jab Na Diya Zindagi Ne Kabhi| (Sitamgar 1985)</t>
  </si>
  <si>
    <t xml:space="preserve">PHIRTE HAI KABSE DARBADAR | (Duniya 1984) </t>
  </si>
  <si>
    <t>Thokar Mein Hai Meri Sara Zamana 4K | (Shehzada 1972)</t>
  </si>
  <si>
    <t>Gumsum Kyun Hai Sanam | (Bhala Manas 1979)</t>
  </si>
  <si>
    <t>Jaan Pehchan to Pehle se thi | (Bhala Manus 1979)</t>
  </si>
  <si>
    <t>Yeh Zindagi Kuch Bhi Sahi |(Romance 1983)</t>
  </si>
  <si>
    <t>Tum Bin Jaoon Kahan |(Pyar Ka Mausam 1969)</t>
  </si>
  <si>
    <t>Na Koi Dil Mein Samaya|( Aa Gale Lag Jaa 1973)</t>
  </si>
  <si>
    <t>Is Mod Se Jaate Hain| (Aandhi 1975 Songs)</t>
  </si>
  <si>
    <t>AAJA AAJA MERI JAAN | (Aja Meri Jaan)</t>
  </si>
  <si>
    <t>Bade Achhe Lagte Hain  | (Balika Badhu 1976)</t>
  </si>
  <si>
    <t>Kaho Kahan Chale Jahan Tum Le Chalo| (Bulundi 1981)</t>
  </si>
  <si>
    <t>Shikwa Koi Tumse Na Hai | (Joota Kahin Ka 1979)</t>
  </si>
  <si>
    <t>Tum Jo Mile To Laga Hai Jaise Mili Zindagi | (Drohi 1992)</t>
  </si>
  <si>
    <t>Badal Jo Barse To Bheege Hum| (Gardish 1993)</t>
  </si>
  <si>
    <t>Kya Nazare Kya Sitare | (Jheel Ke Us Paar 1973)</t>
  </si>
  <si>
    <t>Tum Ho Mere Dil Ki Dhadkan | (Manzil 1979)</t>
  </si>
  <si>
    <t>Do Naina Aur Ek Kahani | (Masoom 1983)</t>
  </si>
  <si>
    <t xml:space="preserve">Kaanta Lagaa| (Samadhi 1972) </t>
  </si>
  <si>
    <t>Jaane Jaan Dhoondta Phir Raha | (Jawani Diwani 1972)</t>
  </si>
  <si>
    <t>https://youtu.be/PN0rH8dLn28?si=e7Cl0RcPnAV0NiH1</t>
  </si>
  <si>
    <t>Tum Meri Zindegi Se | (Bombay to Goa 1971)</t>
  </si>
  <si>
    <t xml:space="preserve"> 🎵 Song 01&lt;/a&gt;</t>
  </si>
  <si>
    <t xml:space="preserve"> 🎵 Song 02&lt;/a&gt;</t>
  </si>
  <si>
    <t xml:space="preserve"> 🎵 Song 03&lt;/a&gt;</t>
  </si>
  <si>
    <t xml:space="preserve"> 🎵 Song 04&lt;/a&gt;</t>
  </si>
  <si>
    <t xml:space="preserve"> 🎵 Song 05&lt;/a&gt;</t>
  </si>
  <si>
    <t xml:space="preserve"> 🎵 Song 06&lt;/a&gt;</t>
  </si>
  <si>
    <t xml:space="preserve"> 🎵 Song 07&lt;/a&gt;</t>
  </si>
  <si>
    <t xml:space="preserve"> 🎵 Song 08&lt;/a&gt;</t>
  </si>
  <si>
    <t xml:space="preserve"> 🎵 Song 09&lt;/a&gt;</t>
  </si>
  <si>
    <t xml:space="preserve"> 🎵 Song 10&lt;/a&gt;</t>
  </si>
  <si>
    <t xml:space="preserve"> 🎵 Song 11&lt;/a&gt;</t>
  </si>
  <si>
    <t xml:space="preserve"> 🎵 Song 12&lt;/a&gt;</t>
  </si>
  <si>
    <t xml:space="preserve"> 🎵 Song 13&lt;/a&gt;</t>
  </si>
  <si>
    <t xml:space="preserve"> 🎵 Song 14&lt;/a&gt;</t>
  </si>
  <si>
    <t xml:space="preserve"> 🎵 Song 15&lt;/a&gt;</t>
  </si>
  <si>
    <t xml:space="preserve"> 🎵 Song 16&lt;/a&gt;</t>
  </si>
  <si>
    <t xml:space="preserve"> 🎵 Song 17&lt;/a&gt;</t>
  </si>
  <si>
    <t xml:space="preserve"> 🎵 Song 18&lt;/a&gt;</t>
  </si>
  <si>
    <t xml:space="preserve"> 🎵 Song 19&lt;/a&gt;</t>
  </si>
  <si>
    <t xml:space="preserve"> 🎵 Song 20&lt;/a&gt;</t>
  </si>
  <si>
    <t xml:space="preserve"> 🎵 Song 21&lt;/a&gt;</t>
  </si>
  <si>
    <t xml:space="preserve"> 🎵 Song 22&lt;/a&gt;</t>
  </si>
  <si>
    <t xml:space="preserve"> 🎵 Song 23&lt;/a&gt;</t>
  </si>
  <si>
    <t xml:space="preserve"> 🎵 Song 24&lt;/a&gt;</t>
  </si>
  <si>
    <t xml:space="preserve"> 🎵 Song 25&lt;/a&gt;</t>
  </si>
  <si>
    <t xml:space="preserve"> 🎵 Song 26&lt;/a&gt;</t>
  </si>
  <si>
    <t xml:space="preserve"> 🎵 Song 27&lt;/a&gt;</t>
  </si>
  <si>
    <t xml:space="preserve"> 🎵 Song 28&lt;/a&gt;</t>
  </si>
  <si>
    <t xml:space="preserve"> 🎵 Song 29&lt;/a&gt;</t>
  </si>
  <si>
    <t xml:space="preserve"> 🎵 Song 30&lt;/a&gt;</t>
  </si>
  <si>
    <t xml:space="preserve"> 🎵 Song 31&lt;/a&gt;</t>
  </si>
  <si>
    <t xml:space="preserve"> 🎵 Song 32&lt;/a&gt;</t>
  </si>
  <si>
    <t xml:space="preserve"> 🎵 Song 33&lt;/a&gt;</t>
  </si>
  <si>
    <t xml:space="preserve"> 🎵 Song 34&lt;/a&gt;</t>
  </si>
  <si>
    <t xml:space="preserve"> 🎵 Song 35&lt;/a&gt;</t>
  </si>
  <si>
    <t xml:space="preserve"> 🎵 Song 36&lt;/a&gt;</t>
  </si>
  <si>
    <t xml:space="preserve"> 🎵 Song 37&lt;/a&gt;</t>
  </si>
  <si>
    <t xml:space="preserve"> 🎵 Song 38&lt;/a&gt;</t>
  </si>
  <si>
    <t xml:space="preserve"> 🎵 Song 39&lt;/a&gt;</t>
  </si>
  <si>
    <t xml:space="preserve"> 🎵 Song 40&lt;/a&gt;</t>
  </si>
  <si>
    <t xml:space="preserve"> 🎵 Song 41&lt;/a&gt;</t>
  </si>
  <si>
    <t xml:space="preserve"> 🎵 Song 42&lt;/a&gt;</t>
  </si>
  <si>
    <t xml:space="preserve"> 🎵 Song 43&lt;/a&gt;</t>
  </si>
  <si>
    <t xml:space="preserve"> 🎵 Song 44&lt;/a&gt;</t>
  </si>
  <si>
    <t xml:space="preserve"> 🎵 Song 45&lt;/a&gt;</t>
  </si>
  <si>
    <t xml:space="preserve"> 🎵 Song 46&lt;/a&gt;</t>
  </si>
  <si>
    <t xml:space="preserve"> 🎵 Song 47&lt;/a&gt;</t>
  </si>
  <si>
    <t xml:space="preserve">&lt;a href="#" onclick="return openBossVideo(event, </t>
  </si>
  <si>
    <t>https://youtu.be/CpYuH4Cc8Mk?si=qK5iGgqa3qsPRKH0</t>
  </si>
  <si>
    <t xml:space="preserve">, </t>
  </si>
  <si>
    <t>Song 01</t>
  </si>
  <si>
    <t xml:space="preserve">);"&gt; </t>
  </si>
  <si>
    <t>https://youtu.be/C1w6p3TEVxI?si=CkHwXCKJOBhZwWkK</t>
  </si>
  <si>
    <t>Song 02</t>
  </si>
  <si>
    <t>https://youtu.be/WaCRlPUPLhk?si=Nq_DXLhf7aS2DjGu</t>
  </si>
  <si>
    <t>Song 03</t>
  </si>
  <si>
    <t>https://youtu.be/PleWU2pdK-I?si=PK_rAjjC72uEVZrZ</t>
  </si>
  <si>
    <t>Song 04</t>
  </si>
  <si>
    <t>https://youtu.be/xkQpfIMj1UE?si=RerH28vnO62xX_s6</t>
  </si>
  <si>
    <t>Song 05</t>
  </si>
  <si>
    <t>https://youtu.be/flFE-ps5yYo?si=C90tKlW2S2fhkswP</t>
  </si>
  <si>
    <t>Song 06</t>
  </si>
  <si>
    <t>https://youtu.be/tC11eSDHobE?si=LpParr0eIVJHpLeT</t>
  </si>
  <si>
    <t>Song 07</t>
  </si>
  <si>
    <t>https://youtu.be/2fUVcrMA8Dg?si=bXt_fKwl3TEJiqiY</t>
  </si>
  <si>
    <t>Song 08</t>
  </si>
  <si>
    <t>https://youtu.be/0VbyQ5tdavI?si=IP277RozQo8C-FBe</t>
  </si>
  <si>
    <t>Song 09</t>
  </si>
  <si>
    <t>https://youtu.be/iaLmf7L-B24?si=YV8cIZJ5yHJUapXE</t>
  </si>
  <si>
    <t>Song 10</t>
  </si>
  <si>
    <t>https://youtu.be/RscsV4uuetw?si=HUEUjhme8qBCWgTd</t>
  </si>
  <si>
    <t>Song 11</t>
  </si>
  <si>
    <t>https://youtu.be/ADYDEx1pvEg?si=WKjpAxfpZMgEWOOy</t>
  </si>
  <si>
    <t>Song 12</t>
  </si>
  <si>
    <t>https://youtu.be/PZzK3CVzLKo?si=y9ntwMjpZFCPp6dU</t>
  </si>
  <si>
    <t>Song 13</t>
  </si>
  <si>
    <t>https://youtu.be/wVlsl3QXwKU?si=u-ReqZGUQX_0Gi36</t>
  </si>
  <si>
    <t>Song 14</t>
  </si>
  <si>
    <t>https://youtu.be/M_mA1M44Bwc?si=wwIEDgVbo6a2_DoT</t>
  </si>
  <si>
    <t>Song 15</t>
  </si>
  <si>
    <t>https://youtu.be/t6iLjbkxBZo?si=IZYjFNUaK22H1qlN</t>
  </si>
  <si>
    <t>Song 16</t>
  </si>
  <si>
    <t>https://youtu.be/8t5Rt_LWmpE?si=cVRNkFxngFAPwxtq</t>
  </si>
  <si>
    <t>Song 17</t>
  </si>
  <si>
    <t>https://youtu.be/h34dmUw_yCQ?si=kBKlVoNxUkzEiJy3</t>
  </si>
  <si>
    <t>Song 18</t>
  </si>
  <si>
    <t>https://youtu.be/h34dmUw_yCQ?si=McXdbMdvr6zHm6xf</t>
  </si>
  <si>
    <t>Song 19</t>
  </si>
  <si>
    <t>https://youtu.be/kkTv_aUjd5Y?si=TCkKvKpl_76ovFE8</t>
  </si>
  <si>
    <t>Song 20</t>
  </si>
  <si>
    <t>https://youtu.be/wKnWL8-6qWA?si=SqpxOfrM2GfL3Zbr</t>
  </si>
  <si>
    <t>Song 21</t>
  </si>
  <si>
    <t>https://youtu.be/lu5MjHcy6Lg?si=U_kUjhTdIKlHEPoE</t>
  </si>
  <si>
    <t>Song 22</t>
  </si>
  <si>
    <t>https://youtu.be/XI2P7HgHK9M?si=dSGqPnPDrSF8l4r7</t>
  </si>
  <si>
    <t>Song 23</t>
  </si>
  <si>
    <t>https://youtu.be/aWJc-cT12Mc?si=A7qUwE_j4Nn_6PNN</t>
  </si>
  <si>
    <t>Song 24</t>
  </si>
  <si>
    <t>https://youtu.be/UUHuIsaNTpM?si=c6vz-9Yk28HIyiL_</t>
  </si>
  <si>
    <t>Song 25</t>
  </si>
  <si>
    <t>https://youtu.be/uj5OLjty0l4?si=CBcss2RilACiME4U</t>
  </si>
  <si>
    <t>Song 26</t>
  </si>
  <si>
    <t>https://youtu.be/30rLo4X4aI0?si=5z-mBemInLHG5BSY</t>
  </si>
  <si>
    <t>Song 27</t>
  </si>
  <si>
    <t>https://youtu.be/kT3rzroZSlw?si=oLL7SB-Ta9bbokKH</t>
  </si>
  <si>
    <t>Song 28</t>
  </si>
  <si>
    <t>https://youtu.be/6GSUGstpEwY?si=fv2IS9y7Ik5mZIUG</t>
  </si>
  <si>
    <t>Song 29</t>
  </si>
  <si>
    <t>https://youtu.be/W29sLG5YEEU?si=jeD1MNKqRDtYo9AB</t>
  </si>
  <si>
    <t>Song 30</t>
  </si>
  <si>
    <t>https://youtu.be/CuX6iBnHCog?si=EiQBJU1f7jSJnO5V</t>
  </si>
  <si>
    <t>Song 31</t>
  </si>
  <si>
    <t>https://youtu.be/4yUauK-So28?si=SWzVaVGZ8Zv5mH_O</t>
  </si>
  <si>
    <t>Song 32</t>
  </si>
  <si>
    <t>https://youtu.be/YQNb89xnKvQ?si=pyGPH6aMgEP0P8Kk</t>
  </si>
  <si>
    <t>Song 33</t>
  </si>
  <si>
    <t>https://youtu.be/LblLAQQV6ko?si=-u1Xhzl87LyAqL1j</t>
  </si>
  <si>
    <t>Song 34</t>
  </si>
  <si>
    <t>https://youtu.be/STOM6NZfcrs?si=gXLx-s67rWOO7HYm</t>
  </si>
  <si>
    <t>Song 35</t>
  </si>
  <si>
    <t>https://youtu.be/XxbBN4AtFio?si=fc8UNPVlvOFWQnl7</t>
  </si>
  <si>
    <t>Song 36</t>
  </si>
  <si>
    <t>https://youtu.be/WJyM13QI64E?si=0s3hgT9czCLz6uNY</t>
  </si>
  <si>
    <t>Song 37</t>
  </si>
  <si>
    <t>https://youtu.be/lplaAZBWiqY?si=ZiIrD2b5F5RkKUMF</t>
  </si>
  <si>
    <t>Song 38</t>
  </si>
  <si>
    <t>https://youtu.be/g7QUMWO4fNA?si=ICdygdScrCB_E7ji</t>
  </si>
  <si>
    <t>Song 39</t>
  </si>
  <si>
    <t>https://youtu.be/SNKJ1kWP7nU?si=25sXKWWQSOD_NWvN</t>
  </si>
  <si>
    <t>Song 40</t>
  </si>
  <si>
    <t>https://youtu.be/5XjqrXpmLOI?si=SqgTK_bD6ZbFCQYk</t>
  </si>
  <si>
    <t>Song 41</t>
  </si>
  <si>
    <t>https://youtu.be/nhQuJuAyVlo?si=T0yl_Kydq9FeZR3X</t>
  </si>
  <si>
    <t>Song 42</t>
  </si>
  <si>
    <t>https://youtu.be/qU3fSobl6Tg?si=-qD4ayWPRQ66kyvX</t>
  </si>
  <si>
    <t>Song 43</t>
  </si>
  <si>
    <t>https://youtu.be/850bZDi_MD0?si=sQiLbdaGzzX1GcXh</t>
  </si>
  <si>
    <t>Song 44</t>
  </si>
  <si>
    <t>https://youtu.be/T1NtFQHEZhQ?si=nYibiAj47Tvf7N07</t>
  </si>
  <si>
    <t>Song 45</t>
  </si>
  <si>
    <t>https://youtu.be/wJ1mqmbngO0?si=Da6UhpFc_5WlyXh-</t>
  </si>
  <si>
    <t>Song 46</t>
  </si>
  <si>
    <t>https://youtu.be/K-GPX2PzDKM?si=CujGtpU8GCbhp6KW</t>
  </si>
  <si>
    <t>Song 47</t>
  </si>
  <si>
    <t>Song 48</t>
  </si>
  <si>
    <t>Phir Wahi Raat | (Ghar 1978)</t>
  </si>
  <si>
    <t xml:space="preserve">Phirte Hai Kabse Darbadar | (Duniya 1984) </t>
  </si>
  <si>
    <t>Aaja Aaja Meri Jaan | (Aja Meri Jaan)</t>
  </si>
  <si>
    <t>Jeena To Hai Par Ae Dil Kahan | DAULAT KE DUSHMAN-PANCH DUSHMAN-1981(73)</t>
  </si>
  <si>
    <t>Jeena To Hai Par Ae Dil Kahan | Daulat Ke Dushman-Panch Dushman-1981(73)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</si>
</sst>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https://youtu.be/CpYuH4Cc8Mk?si=qK5iGgqa3qsPRKH0</v>
          </cell>
          <cell r="C1" t="str">
            <v>CpYuH4Cc8Mk</v>
          </cell>
        </row>
        <row r="2">
          <cell r="A2" t="str">
            <v>https://youtu.be/C1w6p3TEVxI?si=CkHwXCKJOBhZwWkK</v>
          </cell>
          <cell r="C2" t="str">
            <v>C1w6p3TEVxI</v>
          </cell>
        </row>
        <row r="3">
          <cell r="A3" t="str">
            <v>https://youtu.be/WaCRlPUPLhk?si=Nq_DXLhf7aS2DjGu</v>
          </cell>
          <cell r="C3" t="str">
            <v>WaCRlPUPLhk</v>
          </cell>
        </row>
        <row r="4">
          <cell r="A4" t="str">
            <v>https://youtu.be/PleWU2pdK-I?si=PK_rAjjC72uEVZrZ</v>
          </cell>
          <cell r="C4" t="str">
            <v>PleWU2pdK-I</v>
          </cell>
        </row>
        <row r="5">
          <cell r="A5" t="str">
            <v>https://youtu.be/xkQpfIMj1UE?si=RerH28vnO62xX_s6</v>
          </cell>
          <cell r="C5" t="str">
            <v>xkQpfIMj1UE</v>
          </cell>
        </row>
        <row r="6">
          <cell r="A6" t="str">
            <v>https://youtu.be/flFE-ps5yYo?si=C90tKlW2S2fhkswP</v>
          </cell>
          <cell r="C6" t="str">
            <v>flFE-ps5yYo</v>
          </cell>
        </row>
        <row r="7">
          <cell r="A7" t="str">
            <v>https://youtu.be/tC11eSDHobE?si=LpParr0eIVJHpLeT</v>
          </cell>
          <cell r="C7" t="str">
            <v>tC11eSDHobE</v>
          </cell>
        </row>
        <row r="8">
          <cell r="A8" t="str">
            <v>https://youtu.be/2fUVcrMA8Dg?si=bXt_fKwl3TEJiqiY</v>
          </cell>
          <cell r="C8" t="str">
            <v>2fUVcrMA8Dg</v>
          </cell>
        </row>
        <row r="9">
          <cell r="A9" t="str">
            <v>https://youtu.be/0VbyQ5tdavI?si=IP277RozQo8C-FBe</v>
          </cell>
          <cell r="C9" t="str">
            <v>0VbyQ5tdavI</v>
          </cell>
        </row>
        <row r="10">
          <cell r="A10" t="str">
            <v>https://youtu.be/iaLmf7L-B24?si=YV8cIZJ5yHJUapXE</v>
          </cell>
          <cell r="C10" t="str">
            <v>iaLmf7L-B24</v>
          </cell>
        </row>
        <row r="11">
          <cell r="A11" t="str">
            <v>https://youtu.be/RscsV4uuetw?si=HUEUjhme8qBCWgTd</v>
          </cell>
          <cell r="C11" t="str">
            <v>RscsV4uuetw</v>
          </cell>
        </row>
        <row r="12">
          <cell r="A12" t="str">
            <v>https://youtu.be/ADYDEx1pvEg?si=WKjpAxfpZMgEWOOy</v>
          </cell>
          <cell r="C12" t="str">
            <v>ADYDEx1pvEg</v>
          </cell>
        </row>
        <row r="13">
          <cell r="A13" t="str">
            <v>https://youtu.be/PZzK3CVzLKo?si=y9ntwMjpZFCPp6dU</v>
          </cell>
          <cell r="C13" t="str">
            <v>PZzK3CVzLKo</v>
          </cell>
        </row>
        <row r="14">
          <cell r="A14" t="str">
            <v>https://youtu.be/wVlsl3QXwKU?si=u-ReqZGUQX_0Gi36</v>
          </cell>
          <cell r="C14" t="str">
            <v>wVlsl3QXwKU</v>
          </cell>
        </row>
        <row r="15">
          <cell r="A15" t="str">
            <v>https://youtu.be/M_mA1M44Bwc?si=wwIEDgVbo6a2_DoT</v>
          </cell>
          <cell r="C15" t="str">
            <v>M_mA1M44Bwc</v>
          </cell>
        </row>
        <row r="16">
          <cell r="A16" t="str">
            <v>https://youtu.be/t6iLjbkxBZo?si=IZYjFNUaK22H1qlN</v>
          </cell>
          <cell r="C16" t="str">
            <v>t6iLjbkxBZo</v>
          </cell>
        </row>
        <row r="17">
          <cell r="A17" t="str">
            <v>https://youtu.be/8t5Rt_LWmpE?si=cVRNkFxngFAPwxtq</v>
          </cell>
          <cell r="C17" t="str">
            <v>8t5Rt_LWmpE</v>
          </cell>
        </row>
        <row r="18">
          <cell r="A18" t="str">
            <v>https://youtu.be/h34dmUw_yCQ?si=kBKlVoNxUkzEiJy3</v>
          </cell>
          <cell r="C18" t="str">
            <v>h34dmUw_yCQ</v>
          </cell>
        </row>
        <row r="19">
          <cell r="A19" t="str">
            <v>https://youtu.be/h34dmUw_yCQ?si=McXdbMdvr6zHm6xf</v>
          </cell>
          <cell r="C19" t="str">
            <v>h34dmUw_yCQ</v>
          </cell>
        </row>
        <row r="20">
          <cell r="A20" t="str">
            <v>https://youtu.be/kkTv_aUjd5Y?si=TCkKvKpl_76ovFE8</v>
          </cell>
          <cell r="C20" t="str">
            <v>kkTv_aUjd5Y</v>
          </cell>
        </row>
        <row r="21">
          <cell r="A21" t="str">
            <v>https://youtu.be/wKnWL8-6qWA?si=SqpxOfrM2GfL3Zbr</v>
          </cell>
          <cell r="C21" t="str">
            <v>wKnWL8-6qWA</v>
          </cell>
        </row>
        <row r="22">
          <cell r="A22" t="str">
            <v>https://youtu.be/lu5MjHcy6Lg?si=U_kUjhTdIKlHEPoE</v>
          </cell>
          <cell r="C22" t="str">
            <v>lu5MjHcy6Lg</v>
          </cell>
        </row>
        <row r="23">
          <cell r="A23" t="str">
            <v>https://youtu.be/XI2P7HgHK9M?si=dSGqPnPDrSF8l4r7</v>
          </cell>
          <cell r="C23" t="str">
            <v>XI2P7HgHK9M</v>
          </cell>
        </row>
        <row r="24">
          <cell r="A24" t="str">
            <v>https://youtu.be/aWJc-cT12Mc?si=A7qUwE_j4Nn_6PNN</v>
          </cell>
          <cell r="C24" t="str">
            <v>aWJc-cT12Mc</v>
          </cell>
        </row>
        <row r="25">
          <cell r="A25" t="str">
            <v>https://youtu.be/UUHuIsaNTpM?si=c6vz-9Yk28HIyiL_</v>
          </cell>
          <cell r="C25" t="str">
            <v>UUHuIsaNTpM</v>
          </cell>
        </row>
        <row r="26">
          <cell r="A26" t="str">
            <v>https://youtu.be/uj5OLjty0l4?si=CBcss2RilACiME4U</v>
          </cell>
          <cell r="C26" t="str">
            <v>uj5OLjty0l4</v>
          </cell>
        </row>
        <row r="27">
          <cell r="A27" t="str">
            <v>https://youtu.be/30rLo4X4aI0?si=5z-mBemInLHG5BSY</v>
          </cell>
          <cell r="C27" t="str">
            <v>30rLo4X4aI0</v>
          </cell>
        </row>
        <row r="28">
          <cell r="A28" t="str">
            <v>https://youtu.be/kT3rzroZSlw?si=oLL7SB-Ta9bbokKH</v>
          </cell>
          <cell r="C28" t="str">
            <v>kT3rzroZSlw</v>
          </cell>
        </row>
        <row r="29">
          <cell r="A29" t="str">
            <v>https://youtu.be/6GSUGstpEwY?si=fv2IS9y7Ik5mZIUG</v>
          </cell>
          <cell r="C29" t="str">
            <v>6GSUGstpEwY</v>
          </cell>
        </row>
        <row r="30">
          <cell r="A30" t="str">
            <v>https://youtu.be/W29sLG5YEEU?si=jeD1MNKqRDtYo9AB</v>
          </cell>
          <cell r="C30" t="str">
            <v>W29sLG5YEEU</v>
          </cell>
        </row>
        <row r="31">
          <cell r="A31" t="str">
            <v>https://youtu.be/CuX6iBnHCog?si=EiQBJU1f7jSJnO5V</v>
          </cell>
          <cell r="C31" t="str">
            <v>CuX6iBnHCog</v>
          </cell>
        </row>
        <row r="32">
          <cell r="A32" t="str">
            <v>https://youtu.be/4yUauK-So28?si=SWzVaVGZ8Zv5mH_O</v>
          </cell>
          <cell r="C32" t="str">
            <v>4yUauK-So28</v>
          </cell>
        </row>
        <row r="33">
          <cell r="A33" t="str">
            <v>https://youtu.be/YQNb89xnKvQ?si=pyGPH6aMgEP0P8Kk</v>
          </cell>
          <cell r="C33" t="str">
            <v>YQNb89xnKvQ</v>
          </cell>
        </row>
        <row r="34">
          <cell r="A34" t="str">
            <v>https://youtu.be/LblLAQQV6ko?si=-u1Xhzl87LyAqL1j</v>
          </cell>
          <cell r="C34" t="str">
            <v>LblLAQQV6ko</v>
          </cell>
        </row>
        <row r="35">
          <cell r="A35" t="str">
            <v>https://youtu.be/STOM6NZfcrs?si=gXLx-s67rWOO7HYm</v>
          </cell>
          <cell r="C35" t="str">
            <v>STOM6NZfcrs</v>
          </cell>
        </row>
        <row r="36">
          <cell r="A36" t="str">
            <v>https://youtu.be/XxbBN4AtFio?si=fc8UNPVlvOFWQnl7</v>
          </cell>
          <cell r="C36" t="str">
            <v>XxbBN4AtFio</v>
          </cell>
        </row>
        <row r="37">
          <cell r="A37" t="str">
            <v>https://youtu.be/WJyM13QI64E?si=0s3hgT9czCLz6uNY</v>
          </cell>
          <cell r="C37" t="str">
            <v>WJyM13QI64E</v>
          </cell>
        </row>
        <row r="38">
          <cell r="A38" t="str">
            <v>https://youtu.be/lplaAZBWiqY?si=ZiIrD2b5F5RkKUMF</v>
          </cell>
          <cell r="C38" t="str">
            <v>lplaAZBWiqY</v>
          </cell>
        </row>
        <row r="39">
          <cell r="A39" t="str">
            <v>https://youtu.be/g7QUMWO4fNA?si=ICdygdScrCB_E7ji</v>
          </cell>
          <cell r="C39" t="str">
            <v>g7QUMWO4fNA</v>
          </cell>
        </row>
        <row r="40">
          <cell r="A40" t="str">
            <v>https://youtu.be/SNKJ1kWP7nU?si=25sXKWWQSOD_NWvN</v>
          </cell>
          <cell r="C40" t="str">
            <v>SNKJ1kWP7nU</v>
          </cell>
        </row>
        <row r="41">
          <cell r="A41" t="str">
            <v>https://youtu.be/5XjqrXpmLOI?si=SqgTK_bD6ZbFCQYk</v>
          </cell>
          <cell r="C41" t="str">
            <v>5XjqrXpmLOI</v>
          </cell>
        </row>
        <row r="42">
          <cell r="A42" t="str">
            <v>https://youtu.be/nhQuJuAyVlo?si=T0yl_Kydq9FeZR3X</v>
          </cell>
          <cell r="C42" t="str">
            <v>nhQuJuAyVlo</v>
          </cell>
        </row>
        <row r="43">
          <cell r="A43" t="str">
            <v>https://youtu.be/qU3fSobl6Tg?si=-qD4ayWPRQ66kyvX</v>
          </cell>
          <cell r="C43" t="str">
            <v>qU3fSobl6Tg</v>
          </cell>
        </row>
        <row r="44">
          <cell r="A44" t="str">
            <v>https://youtu.be/850bZDi_MD0?si=sQiLbdaGzzX1GcXh</v>
          </cell>
          <cell r="C44" t="str">
            <v>850bZDi_MD0</v>
          </cell>
        </row>
        <row r="45">
          <cell r="A45" t="str">
            <v xml:space="preserve">https://youtu.be/T1NtFQHEZhQ?si=nYibiAj47Tvf7N07 </v>
          </cell>
          <cell r="C45" t="str">
            <v>T1NtFQHEZhQ</v>
          </cell>
        </row>
        <row r="46">
          <cell r="A46" t="str">
            <v>https://youtu.be/wJ1mqmbngO0?si=Da6UhpFc_5WlyXh-</v>
          </cell>
          <cell r="C46" t="str">
            <v>wJ1mqmbngO0</v>
          </cell>
        </row>
        <row r="47">
          <cell r="A47" t="str">
            <v>https://youtu.be/K-GPX2PzDKM?si=CujGtpU8GCbhp6KW</v>
          </cell>
          <cell r="C47" t="str">
            <v>K-GPX2PzDKM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69A4-BF04-474B-B8BC-6A920C7C6F84}">
  <dimension ref="A1:E52"/>
  <sheetViews>
    <sheetView tabSelected="1" topLeftCell="B40" workbookViewId="0">
      <selection activeCell="C51" sqref="C51"/>
    </sheetView>
  </sheetViews>
  <sheetFormatPr defaultRowHeight="14.5" x14ac:dyDescent="0.35"/>
  <cols>
    <col min="1" max="1" width="13.81640625" bestFit="1" customWidth="1"/>
    <col min="2" max="2" width="49.36328125" bestFit="1" customWidth="1"/>
    <col min="3" max="3" width="74.26953125" bestFit="1" customWidth="1"/>
  </cols>
  <sheetData>
    <row r="1" spans="1:4" x14ac:dyDescent="0.35">
      <c r="A1" s="1" t="s">
        <v>0</v>
      </c>
      <c r="B1" s="1" t="s">
        <v>108</v>
      </c>
      <c r="C1" s="1" t="s">
        <v>1</v>
      </c>
    </row>
    <row r="2" spans="1:4" x14ac:dyDescent="0.35">
      <c r="A2" t="s">
        <v>2</v>
      </c>
      <c r="B2" t="e">
        <f>_xlfn.XLOOKUP(A2,[1]Sheet1!$C:$C,[1]Sheet1!$A:$A)</f>
        <v>#N/A</v>
      </c>
      <c r="C2" t="s">
        <v>3</v>
      </c>
    </row>
    <row r="3" spans="1:4" x14ac:dyDescent="0.35">
      <c r="A3" t="s">
        <v>4</v>
      </c>
      <c r="B3" t="e">
        <f>_xlfn.XLOOKUP(A3,[1]Sheet1!$C:$C,[1]Sheet1!$A:$A)</f>
        <v>#N/A</v>
      </c>
      <c r="C3" t="s">
        <v>5</v>
      </c>
    </row>
    <row r="4" spans="1:4" x14ac:dyDescent="0.35">
      <c r="A4" t="s">
        <v>6</v>
      </c>
      <c r="B4" t="e">
        <f>_xlfn.XLOOKUP(A4,[1]Sheet1!$C:$C,[1]Sheet1!$A:$A)</f>
        <v>#N/A</v>
      </c>
      <c r="C4" t="s">
        <v>7</v>
      </c>
    </row>
    <row r="5" spans="1:4" x14ac:dyDescent="0.35">
      <c r="A5" t="s">
        <v>8</v>
      </c>
      <c r="B5" t="e">
        <f>_xlfn.XLOOKUP(A5,[1]Sheet1!$C:$C,[1]Sheet1!$A:$A)</f>
        <v>#N/A</v>
      </c>
      <c r="C5" t="s">
        <v>9</v>
      </c>
    </row>
    <row r="6" spans="1:4" x14ac:dyDescent="0.35">
      <c r="A6" t="s">
        <v>10</v>
      </c>
      <c r="B6" t="str">
        <f>_xlfn.XLOOKUP(A6,[1]Sheet1!$C:$C,[1]Sheet1!$A:$A)</f>
        <v>https://youtu.be/CpYuH4Cc8Mk?si=qK5iGgqa3qsPRKH0</v>
      </c>
      <c r="C6" t="s">
        <v>109</v>
      </c>
      <c r="D6" t="str">
        <f>_xlfn.XLOOKUP(B6,Sheet2!B:B,Sheet2!D:D)</f>
        <v>Song 01</v>
      </c>
    </row>
    <row r="7" spans="1:4" x14ac:dyDescent="0.35">
      <c r="A7" t="s">
        <v>11</v>
      </c>
      <c r="B7" t="str">
        <f>_xlfn.XLOOKUP(A7,[1]Sheet1!$C:$C,[1]Sheet1!$A:$A)</f>
        <v>https://youtu.be/C1w6p3TEVxI?si=CkHwXCKJOBhZwWkK</v>
      </c>
      <c r="C7" t="s">
        <v>110</v>
      </c>
      <c r="D7" t="str">
        <f>_xlfn.XLOOKUP(B7,Sheet2!B:B,Sheet2!D:D)</f>
        <v>Song 02</v>
      </c>
    </row>
    <row r="8" spans="1:4" x14ac:dyDescent="0.35">
      <c r="A8" t="s">
        <v>12</v>
      </c>
      <c r="B8" t="str">
        <f>_xlfn.XLOOKUP(A8,[1]Sheet1!$C:$C,[1]Sheet1!$A:$A)</f>
        <v>https://youtu.be/WaCRlPUPLhk?si=Nq_DXLhf7aS2DjGu</v>
      </c>
      <c r="C8" t="s">
        <v>113</v>
      </c>
      <c r="D8" t="str">
        <f>_xlfn.XLOOKUP(B8,Sheet2!B:B,Sheet2!D:D)</f>
        <v>Song 03</v>
      </c>
    </row>
    <row r="9" spans="1:4" x14ac:dyDescent="0.35">
      <c r="A9" t="s">
        <v>13</v>
      </c>
      <c r="B9" t="str">
        <f>_xlfn.XLOOKUP(A9,[1]Sheet1!$C:$C,[1]Sheet1!$A:$A)</f>
        <v>https://youtu.be/PleWU2pdK-I?si=PK_rAjjC72uEVZrZ</v>
      </c>
      <c r="C9" t="s">
        <v>111</v>
      </c>
      <c r="D9" t="str">
        <f>_xlfn.XLOOKUP(B9,Sheet2!B:B,Sheet2!D:D)</f>
        <v>Song 04</v>
      </c>
    </row>
    <row r="10" spans="1:4" x14ac:dyDescent="0.35">
      <c r="A10" t="s">
        <v>14</v>
      </c>
      <c r="B10" t="str">
        <f>_xlfn.XLOOKUP(A10,[1]Sheet1!$C:$C,[1]Sheet1!$A:$A)</f>
        <v>https://youtu.be/xkQpfIMj1UE?si=RerH28vnO62xX_s6</v>
      </c>
      <c r="C10" t="s">
        <v>112</v>
      </c>
      <c r="D10" t="str">
        <f>_xlfn.XLOOKUP(B10,Sheet2!B:B,Sheet2!D:D)</f>
        <v>Song 05</v>
      </c>
    </row>
    <row r="11" spans="1:4" x14ac:dyDescent="0.35">
      <c r="A11" t="s">
        <v>15</v>
      </c>
      <c r="B11" t="str">
        <f>_xlfn.XLOOKUP(A11,[1]Sheet1!$C:$C,[1]Sheet1!$A:$A)</f>
        <v>https://youtu.be/flFE-ps5yYo?si=C90tKlW2S2fhkswP</v>
      </c>
      <c r="C11" t="s">
        <v>114</v>
      </c>
      <c r="D11" t="str">
        <f>_xlfn.XLOOKUP(B11,Sheet2!B:B,Sheet2!D:D)</f>
        <v>Song 06</v>
      </c>
    </row>
    <row r="12" spans="1:4" x14ac:dyDescent="0.35">
      <c r="A12" t="s">
        <v>16</v>
      </c>
      <c r="B12" t="str">
        <f>_xlfn.XLOOKUP(A12,[1]Sheet1!$C:$C,[1]Sheet1!$A:$A)</f>
        <v>https://youtu.be/tC11eSDHobE?si=LpParr0eIVJHpLeT</v>
      </c>
      <c r="C12" t="s">
        <v>115</v>
      </c>
      <c r="D12" t="str">
        <f>_xlfn.XLOOKUP(B12,Sheet2!B:B,Sheet2!D:D)</f>
        <v>Song 07</v>
      </c>
    </row>
    <row r="13" spans="1:4" x14ac:dyDescent="0.35">
      <c r="A13" t="s">
        <v>17</v>
      </c>
      <c r="B13" t="str">
        <f>_xlfn.XLOOKUP(A13,[1]Sheet1!$C:$C,[1]Sheet1!$A:$A)</f>
        <v>https://youtu.be/2fUVcrMA8Dg?si=bXt_fKwl3TEJiqiY</v>
      </c>
      <c r="C13" t="s">
        <v>116</v>
      </c>
      <c r="D13" t="str">
        <f>_xlfn.XLOOKUP(B13,Sheet2!B:B,Sheet2!D:D)</f>
        <v>Song 08</v>
      </c>
    </row>
    <row r="14" spans="1:4" x14ac:dyDescent="0.35">
      <c r="A14" t="s">
        <v>18</v>
      </c>
      <c r="B14" t="str">
        <f>_xlfn.XLOOKUP(A14,[1]Sheet1!$C:$C,[1]Sheet1!$A:$A)</f>
        <v>https://youtu.be/0VbyQ5tdavI?si=IP277RozQo8C-FBe</v>
      </c>
      <c r="C14" t="s">
        <v>117</v>
      </c>
      <c r="D14" t="str">
        <f>_xlfn.XLOOKUP(B14,Sheet2!B:B,Sheet2!D:D)</f>
        <v>Song 09</v>
      </c>
    </row>
    <row r="15" spans="1:4" x14ac:dyDescent="0.35">
      <c r="A15" t="s">
        <v>19</v>
      </c>
      <c r="B15" t="str">
        <f>_xlfn.XLOOKUP(A15,[1]Sheet1!$C:$C,[1]Sheet1!$A:$A)</f>
        <v>https://youtu.be/iaLmf7L-B24?si=YV8cIZJ5yHJUapXE</v>
      </c>
      <c r="C15" t="s">
        <v>118</v>
      </c>
      <c r="D15" t="str">
        <f>_xlfn.XLOOKUP(B15,Sheet2!B:B,Sheet2!D:D)</f>
        <v>Song 10</v>
      </c>
    </row>
    <row r="16" spans="1:4" x14ac:dyDescent="0.35">
      <c r="A16" t="s">
        <v>20</v>
      </c>
      <c r="B16" t="str">
        <f>_xlfn.XLOOKUP(A16,[1]Sheet1!$C:$C,[1]Sheet1!$A:$A)</f>
        <v>https://youtu.be/RscsV4uuetw?si=HUEUjhme8qBCWgTd</v>
      </c>
      <c r="C16" t="s">
        <v>119</v>
      </c>
      <c r="D16" t="str">
        <f>_xlfn.XLOOKUP(B16,Sheet2!B:B,Sheet2!D:D)</f>
        <v>Song 11</v>
      </c>
    </row>
    <row r="17" spans="1:5" x14ac:dyDescent="0.35">
      <c r="A17" t="s">
        <v>21</v>
      </c>
      <c r="B17" t="str">
        <f>_xlfn.XLOOKUP(A17,[1]Sheet1!$C:$C,[1]Sheet1!$A:$A)</f>
        <v>https://youtu.be/ADYDEx1pvEg?si=WKjpAxfpZMgEWOOy</v>
      </c>
      <c r="C17" t="s">
        <v>120</v>
      </c>
      <c r="D17" t="str">
        <f>_xlfn.XLOOKUP(B17,Sheet2!B:B,Sheet2!D:D)</f>
        <v>Song 12</v>
      </c>
      <c r="E17" t="str">
        <f>PROPER(C17)</f>
        <v>Kya Jaanu Sajan Hoti Hai | (Baharon Ke Sapne 1967)</v>
      </c>
    </row>
    <row r="18" spans="1:5" x14ac:dyDescent="0.35">
      <c r="A18" t="s">
        <v>22</v>
      </c>
      <c r="B18" t="str">
        <f>_xlfn.XLOOKUP(A18,[1]Sheet1!$C:$C,[1]Sheet1!$A:$A)</f>
        <v>https://youtu.be/PZzK3CVzLKo?si=y9ntwMjpZFCPp6dU</v>
      </c>
      <c r="C18" t="s">
        <v>121</v>
      </c>
      <c r="D18" t="str">
        <f>_xlfn.XLOOKUP(B18,Sheet2!B:B,Sheet2!D:D)</f>
        <v>Song 13</v>
      </c>
    </row>
    <row r="19" spans="1:5" x14ac:dyDescent="0.35">
      <c r="A19" t="s">
        <v>23</v>
      </c>
      <c r="B19" t="str">
        <f>_xlfn.XLOOKUP(A19,[1]Sheet1!$C:$C,[1]Sheet1!$A:$A)</f>
        <v>https://youtu.be/wVlsl3QXwKU?si=u-ReqZGUQX_0Gi36</v>
      </c>
      <c r="C19" t="s">
        <v>122</v>
      </c>
      <c r="D19" t="str">
        <f>_xlfn.XLOOKUP(B19,Sheet2!B:B,Sheet2!D:D)</f>
        <v>Song 14</v>
      </c>
    </row>
    <row r="20" spans="1:5" x14ac:dyDescent="0.35">
      <c r="A20" t="s">
        <v>24</v>
      </c>
      <c r="B20" t="str">
        <f>_xlfn.XLOOKUP(A20,[1]Sheet1!$C:$C,[1]Sheet1!$A:$A)</f>
        <v>https://youtu.be/M_mA1M44Bwc?si=wwIEDgVbo6a2_DoT</v>
      </c>
      <c r="C20" t="s">
        <v>124</v>
      </c>
      <c r="D20" t="str">
        <f>_xlfn.XLOOKUP(B20,Sheet2!B:B,Sheet2!D:D)</f>
        <v>Song 15</v>
      </c>
    </row>
    <row r="21" spans="1:5" x14ac:dyDescent="0.35">
      <c r="A21" t="s">
        <v>25</v>
      </c>
      <c r="B21" t="str">
        <f>_xlfn.XLOOKUP(A21,[1]Sheet1!$C:$C,[1]Sheet1!$A:$A)</f>
        <v>https://youtu.be/t6iLjbkxBZo?si=IZYjFNUaK22H1qlN</v>
      </c>
      <c r="C21" t="s">
        <v>123</v>
      </c>
      <c r="D21" t="str">
        <f>_xlfn.XLOOKUP(B21,Sheet2!B:B,Sheet2!D:D)</f>
        <v>Song 16</v>
      </c>
    </row>
    <row r="22" spans="1:5" x14ac:dyDescent="0.35">
      <c r="A22" t="s">
        <v>26</v>
      </c>
      <c r="B22" t="str">
        <f>_xlfn.XLOOKUP(A22,[1]Sheet1!$C:$C,[1]Sheet1!$A:$A)</f>
        <v>https://youtu.be/8t5Rt_LWmpE?si=cVRNkFxngFAPwxtq</v>
      </c>
      <c r="C22" t="s">
        <v>125</v>
      </c>
      <c r="D22" t="str">
        <f>_xlfn.XLOOKUP(B22,Sheet2!B:B,Sheet2!D:D)</f>
        <v>Song 17</v>
      </c>
    </row>
    <row r="23" spans="1:5" x14ac:dyDescent="0.35">
      <c r="A23" t="s">
        <v>27</v>
      </c>
      <c r="B23" t="str">
        <f>_xlfn.XLOOKUP(A23,[1]Sheet1!$C:$C,[1]Sheet1!$A:$A)</f>
        <v>https://youtu.be/h34dmUw_yCQ?si=kBKlVoNxUkzEiJy3</v>
      </c>
      <c r="C23" t="s">
        <v>300</v>
      </c>
      <c r="D23" t="str">
        <f>_xlfn.XLOOKUP(B23,Sheet2!B:B,Sheet2!D:D)</f>
        <v>Song 18</v>
      </c>
    </row>
    <row r="24" spans="1:5" x14ac:dyDescent="0.35">
      <c r="A24" t="s">
        <v>28</v>
      </c>
      <c r="B24" t="str">
        <f>_xlfn.XLOOKUP(A24,[1]Sheet1!$C:$C,[1]Sheet1!$A:$A)</f>
        <v>https://youtu.be/kkTv_aUjd5Y?si=TCkKvKpl_76ovFE8</v>
      </c>
      <c r="C24" t="s">
        <v>126</v>
      </c>
      <c r="D24" t="str">
        <f>_xlfn.XLOOKUP(B24,Sheet2!B:B,Sheet2!D:D)</f>
        <v>Song 20</v>
      </c>
    </row>
    <row r="25" spans="1:5" x14ac:dyDescent="0.35">
      <c r="A25" t="s">
        <v>29</v>
      </c>
      <c r="B25" t="str">
        <f>_xlfn.XLOOKUP(A25,[1]Sheet1!$C:$C,[1]Sheet1!$A:$A)</f>
        <v>https://youtu.be/wKnWL8-6qWA?si=SqpxOfrM2GfL3Zbr</v>
      </c>
      <c r="C25" t="s">
        <v>127</v>
      </c>
      <c r="D25" t="str">
        <f>_xlfn.XLOOKUP(B25,Sheet2!B:B,Sheet2!D:D)</f>
        <v>Song 21</v>
      </c>
    </row>
    <row r="26" spans="1:5" x14ac:dyDescent="0.35">
      <c r="A26" t="s">
        <v>30</v>
      </c>
      <c r="B26" t="str">
        <f>_xlfn.XLOOKUP(A26,[1]Sheet1!$C:$C,[1]Sheet1!$A:$A)</f>
        <v>https://youtu.be/lu5MjHcy6Lg?si=U_kUjhTdIKlHEPoE</v>
      </c>
      <c r="C26" t="s">
        <v>128</v>
      </c>
      <c r="D26" t="str">
        <f>_xlfn.XLOOKUP(B26,Sheet2!B:B,Sheet2!D:D)</f>
        <v>Song 22</v>
      </c>
    </row>
    <row r="27" spans="1:5" x14ac:dyDescent="0.35">
      <c r="A27" t="s">
        <v>31</v>
      </c>
      <c r="B27" t="str">
        <f>_xlfn.XLOOKUP(A27,[1]Sheet1!$C:$C,[1]Sheet1!$A:$A)</f>
        <v>https://youtu.be/XI2P7HgHK9M?si=dSGqPnPDrSF8l4r7</v>
      </c>
      <c r="C27" t="s">
        <v>129</v>
      </c>
      <c r="D27" t="str">
        <f>_xlfn.XLOOKUP(B27,Sheet2!B:B,Sheet2!D:D)</f>
        <v>Song 23</v>
      </c>
    </row>
    <row r="28" spans="1:5" x14ac:dyDescent="0.35">
      <c r="A28" t="s">
        <v>32</v>
      </c>
      <c r="B28" t="str">
        <f>_xlfn.XLOOKUP(A28,[1]Sheet1!$C:$C,[1]Sheet1!$A:$A)</f>
        <v>https://youtu.be/aWJc-cT12Mc?si=A7qUwE_j4Nn_6PNN</v>
      </c>
      <c r="C28" t="s">
        <v>130</v>
      </c>
      <c r="D28" t="str">
        <f>_xlfn.XLOOKUP(B28,Sheet2!B:B,Sheet2!D:D)</f>
        <v>Song 24</v>
      </c>
    </row>
    <row r="29" spans="1:5" x14ac:dyDescent="0.35">
      <c r="A29" t="s">
        <v>33</v>
      </c>
      <c r="B29" t="str">
        <f>_xlfn.XLOOKUP(A29,[1]Sheet1!$C:$C,[1]Sheet1!$A:$A)</f>
        <v>https://youtu.be/UUHuIsaNTpM?si=c6vz-9Yk28HIyiL_</v>
      </c>
      <c r="C29" t="s">
        <v>131</v>
      </c>
      <c r="D29" t="str">
        <f>_xlfn.XLOOKUP(B29,Sheet2!B:B,Sheet2!D:D)</f>
        <v>Song 25</v>
      </c>
    </row>
    <row r="30" spans="1:5" x14ac:dyDescent="0.35">
      <c r="A30" t="s">
        <v>34</v>
      </c>
      <c r="B30" t="str">
        <f>_xlfn.XLOOKUP(A30,[1]Sheet1!$C:$C,[1]Sheet1!$A:$A)</f>
        <v>https://youtu.be/uj5OLjty0l4?si=CBcss2RilACiME4U</v>
      </c>
      <c r="C30" t="s">
        <v>132</v>
      </c>
      <c r="D30" t="str">
        <f>_xlfn.XLOOKUP(B30,Sheet2!B:B,Sheet2!D:D)</f>
        <v>Song 26</v>
      </c>
    </row>
    <row r="31" spans="1:5" x14ac:dyDescent="0.35">
      <c r="A31" t="s">
        <v>35</v>
      </c>
      <c r="B31" t="str">
        <f>_xlfn.XLOOKUP(A31,[1]Sheet1!$C:$C,[1]Sheet1!$A:$A)</f>
        <v>https://youtu.be/30rLo4X4aI0?si=5z-mBemInLHG5BSY</v>
      </c>
      <c r="C31" t="s">
        <v>133</v>
      </c>
      <c r="D31" t="str">
        <f>_xlfn.XLOOKUP(B31,Sheet2!B:B,Sheet2!D:D)</f>
        <v>Song 27</v>
      </c>
    </row>
    <row r="32" spans="1:5" x14ac:dyDescent="0.35">
      <c r="A32" t="s">
        <v>36</v>
      </c>
      <c r="B32" t="str">
        <f>_xlfn.XLOOKUP(A32,[1]Sheet1!$C:$C,[1]Sheet1!$A:$A)</f>
        <v>https://youtu.be/kT3rzroZSlw?si=oLL7SB-Ta9bbokKH</v>
      </c>
      <c r="C32" t="s">
        <v>134</v>
      </c>
      <c r="D32" t="str">
        <f>_xlfn.XLOOKUP(B32,Sheet2!B:B,Sheet2!D:D)</f>
        <v>Song 28</v>
      </c>
      <c r="E32" t="s">
        <v>301</v>
      </c>
    </row>
    <row r="33" spans="1:5" x14ac:dyDescent="0.35">
      <c r="A33" t="s">
        <v>37</v>
      </c>
      <c r="B33" t="str">
        <f>_xlfn.XLOOKUP(A33,[1]Sheet1!$C:$C,[1]Sheet1!$A:$A)</f>
        <v>https://youtu.be/6GSUGstpEwY?si=fv2IS9y7Ik5mZIUG</v>
      </c>
      <c r="C33" t="s">
        <v>135</v>
      </c>
      <c r="D33" t="str">
        <f>_xlfn.XLOOKUP(B33,Sheet2!B:B,Sheet2!D:D)</f>
        <v>Song 29</v>
      </c>
    </row>
    <row r="34" spans="1:5" x14ac:dyDescent="0.35">
      <c r="A34" t="s">
        <v>38</v>
      </c>
      <c r="B34" t="str">
        <f>_xlfn.XLOOKUP(A34,[1]Sheet1!$C:$C,[1]Sheet1!$A:$A)</f>
        <v>https://youtu.be/W29sLG5YEEU?si=jeD1MNKqRDtYo9AB</v>
      </c>
      <c r="C34" t="s">
        <v>136</v>
      </c>
      <c r="D34" t="str">
        <f>_xlfn.XLOOKUP(B34,Sheet2!B:B,Sheet2!D:D)</f>
        <v>Song 30</v>
      </c>
    </row>
    <row r="35" spans="1:5" x14ac:dyDescent="0.35">
      <c r="A35" t="s">
        <v>39</v>
      </c>
      <c r="B35" t="str">
        <f>_xlfn.XLOOKUP(A35,[1]Sheet1!$C:$C,[1]Sheet1!$A:$A)</f>
        <v>https://youtu.be/CuX6iBnHCog?si=EiQBJU1f7jSJnO5V</v>
      </c>
      <c r="C35" t="s">
        <v>137</v>
      </c>
      <c r="D35" t="str">
        <f>_xlfn.XLOOKUP(B35,Sheet2!B:B,Sheet2!D:D)</f>
        <v>Song 31</v>
      </c>
    </row>
    <row r="36" spans="1:5" x14ac:dyDescent="0.35">
      <c r="A36" t="s">
        <v>40</v>
      </c>
      <c r="B36" t="str">
        <f>_xlfn.XLOOKUP(A36,[1]Sheet1!$C:$C,[1]Sheet1!$A:$A)</f>
        <v>https://youtu.be/4yUauK-So28?si=SWzVaVGZ8Zv5mH_O</v>
      </c>
      <c r="C36" t="s">
        <v>138</v>
      </c>
      <c r="D36" t="str">
        <f>_xlfn.XLOOKUP(B36,Sheet2!B:B,Sheet2!D:D)</f>
        <v>Song 32</v>
      </c>
    </row>
    <row r="37" spans="1:5" x14ac:dyDescent="0.35">
      <c r="A37" t="s">
        <v>41</v>
      </c>
      <c r="B37" t="str">
        <f>_xlfn.XLOOKUP(A37,[1]Sheet1!$C:$C,[1]Sheet1!$A:$A)</f>
        <v>https://youtu.be/YQNb89xnKvQ?si=pyGPH6aMgEP0P8Kk</v>
      </c>
      <c r="C37" t="s">
        <v>139</v>
      </c>
      <c r="D37" t="str">
        <f>_xlfn.XLOOKUP(B37,Sheet2!B:B,Sheet2!D:D)</f>
        <v>Song 33</v>
      </c>
    </row>
    <row r="38" spans="1:5" x14ac:dyDescent="0.35">
      <c r="A38" t="s">
        <v>42</v>
      </c>
      <c r="B38" t="str">
        <f>_xlfn.XLOOKUP(A38,[1]Sheet1!$C:$C,[1]Sheet1!$A:$A)</f>
        <v>https://youtu.be/LblLAQQV6ko?si=-u1Xhzl87LyAqL1j</v>
      </c>
      <c r="C38" t="s">
        <v>140</v>
      </c>
      <c r="D38" t="str">
        <f>_xlfn.XLOOKUP(B38,Sheet2!B:B,Sheet2!D:D)</f>
        <v>Song 34</v>
      </c>
    </row>
    <row r="39" spans="1:5" x14ac:dyDescent="0.35">
      <c r="A39" t="s">
        <v>43</v>
      </c>
      <c r="B39" t="str">
        <f>_xlfn.XLOOKUP(A39,[1]Sheet1!$C:$C,[1]Sheet1!$A:$A)</f>
        <v>https://youtu.be/STOM6NZfcrs?si=gXLx-s67rWOO7HYm</v>
      </c>
      <c r="C39" t="s">
        <v>141</v>
      </c>
      <c r="D39" t="str">
        <f>_xlfn.XLOOKUP(B39,Sheet2!B:B,Sheet2!D:D)</f>
        <v>Song 35</v>
      </c>
    </row>
    <row r="40" spans="1:5" x14ac:dyDescent="0.35">
      <c r="A40" t="s">
        <v>44</v>
      </c>
      <c r="B40" t="str">
        <f>_xlfn.XLOOKUP(A40,[1]Sheet1!$C:$C,[1]Sheet1!$A:$A)</f>
        <v>https://youtu.be/XxbBN4AtFio?si=fc8UNPVlvOFWQnl7</v>
      </c>
      <c r="C40" t="s">
        <v>142</v>
      </c>
      <c r="D40" t="str">
        <f>_xlfn.XLOOKUP(B40,Sheet2!B:B,Sheet2!D:D)</f>
        <v>Song 36</v>
      </c>
      <c r="E40" t="s">
        <v>302</v>
      </c>
    </row>
    <row r="41" spans="1:5" x14ac:dyDescent="0.35">
      <c r="A41" t="s">
        <v>45</v>
      </c>
      <c r="B41" t="str">
        <f>_xlfn.XLOOKUP(A41,[1]Sheet1!$C:$C,[1]Sheet1!$A:$A)</f>
        <v>https://youtu.be/WJyM13QI64E?si=0s3hgT9czCLz6uNY</v>
      </c>
      <c r="C41" t="s">
        <v>145</v>
      </c>
      <c r="D41" t="str">
        <f>_xlfn.XLOOKUP(B41,Sheet2!B:B,Sheet2!D:D)</f>
        <v>Song 37</v>
      </c>
    </row>
    <row r="42" spans="1:5" x14ac:dyDescent="0.35">
      <c r="A42" t="s">
        <v>46</v>
      </c>
      <c r="B42" t="str">
        <f>_xlfn.XLOOKUP(A42,[1]Sheet1!$C:$C,[1]Sheet1!$A:$A)</f>
        <v>https://youtu.be/lplaAZBWiqY?si=ZiIrD2b5F5RkKUMF</v>
      </c>
      <c r="C42" t="s">
        <v>143</v>
      </c>
      <c r="D42" t="str">
        <f>_xlfn.XLOOKUP(B42,Sheet2!B:B,Sheet2!D:D)</f>
        <v>Song 38</v>
      </c>
    </row>
    <row r="43" spans="1:5" x14ac:dyDescent="0.35">
      <c r="A43" t="s">
        <v>47</v>
      </c>
      <c r="B43" t="str">
        <f>_xlfn.XLOOKUP(A43,[1]Sheet1!$C:$C,[1]Sheet1!$A:$A)</f>
        <v>https://youtu.be/g7QUMWO4fNA?si=ICdygdScrCB_E7ji</v>
      </c>
      <c r="C43" t="s">
        <v>144</v>
      </c>
      <c r="D43" t="str">
        <f>_xlfn.XLOOKUP(B43,Sheet2!B:B,Sheet2!D:D)</f>
        <v>Song 39</v>
      </c>
    </row>
    <row r="44" spans="1:5" x14ac:dyDescent="0.35">
      <c r="A44" t="s">
        <v>48</v>
      </c>
      <c r="B44" t="str">
        <f>_xlfn.XLOOKUP(A44,[1]Sheet1!$C:$C,[1]Sheet1!$A:$A)</f>
        <v>https://youtu.be/SNKJ1kWP7nU?si=25sXKWWQSOD_NWvN</v>
      </c>
      <c r="C44" t="s">
        <v>303</v>
      </c>
      <c r="D44" t="str">
        <f>_xlfn.XLOOKUP(B44,Sheet2!B:B,Sheet2!D:D)</f>
        <v>Song 40</v>
      </c>
      <c r="E44" t="s">
        <v>304</v>
      </c>
    </row>
    <row r="45" spans="1:5" x14ac:dyDescent="0.35">
      <c r="A45" t="s">
        <v>49</v>
      </c>
      <c r="B45" t="str">
        <f>_xlfn.XLOOKUP(A45,[1]Sheet1!$C:$C,[1]Sheet1!$A:$A)</f>
        <v>https://youtu.be/5XjqrXpmLOI?si=SqgTK_bD6ZbFCQYk</v>
      </c>
      <c r="C45" t="s">
        <v>146</v>
      </c>
      <c r="D45" t="str">
        <f>_xlfn.XLOOKUP(B45,Sheet2!B:B,Sheet2!D:D)</f>
        <v>Song 41</v>
      </c>
    </row>
    <row r="46" spans="1:5" x14ac:dyDescent="0.35">
      <c r="A46" t="s">
        <v>50</v>
      </c>
      <c r="B46" t="str">
        <f>_xlfn.XLOOKUP(A46,[1]Sheet1!$C:$C,[1]Sheet1!$A:$A)</f>
        <v>https://youtu.be/nhQuJuAyVlo?si=T0yl_Kydq9FeZR3X</v>
      </c>
      <c r="C46" t="s">
        <v>147</v>
      </c>
      <c r="D46" t="str">
        <f>_xlfn.XLOOKUP(B46,Sheet2!B:B,Sheet2!D:D)</f>
        <v>Song 42</v>
      </c>
    </row>
    <row r="47" spans="1:5" x14ac:dyDescent="0.35">
      <c r="A47" t="s">
        <v>51</v>
      </c>
      <c r="B47" t="str">
        <f>_xlfn.XLOOKUP(A47,[1]Sheet1!$C:$C,[1]Sheet1!$A:$A)</f>
        <v>https://youtu.be/qU3fSobl6Tg?si=-qD4ayWPRQ66kyvX</v>
      </c>
      <c r="C47" t="s">
        <v>148</v>
      </c>
      <c r="D47" t="str">
        <f>_xlfn.XLOOKUP(B47,Sheet2!B:B,Sheet2!D:D)</f>
        <v>Song 43</v>
      </c>
    </row>
    <row r="48" spans="1:5" x14ac:dyDescent="0.35">
      <c r="A48" t="s">
        <v>52</v>
      </c>
      <c r="B48" t="str">
        <f>_xlfn.XLOOKUP(A48,[1]Sheet1!$C:$C,[1]Sheet1!$A:$A)</f>
        <v>https://youtu.be/850bZDi_MD0?si=sQiLbdaGzzX1GcXh</v>
      </c>
      <c r="C48" t="s">
        <v>149</v>
      </c>
      <c r="D48" t="str">
        <f>_xlfn.XLOOKUP(B48,Sheet2!B:B,Sheet2!D:D)</f>
        <v>Song 44</v>
      </c>
    </row>
    <row r="49" spans="1:4" x14ac:dyDescent="0.35">
      <c r="A49" t="s">
        <v>53</v>
      </c>
      <c r="B49" t="str">
        <f>_xlfn.XLOOKUP(A49,[1]Sheet1!$C:$C,[1]Sheet1!$A:$A)</f>
        <v xml:space="preserve">https://youtu.be/T1NtFQHEZhQ?si=nYibiAj47Tvf7N07 </v>
      </c>
      <c r="C49" t="s">
        <v>150</v>
      </c>
      <c r="D49" t="s">
        <v>294</v>
      </c>
    </row>
    <row r="50" spans="1:4" x14ac:dyDescent="0.35">
      <c r="A50" t="s">
        <v>54</v>
      </c>
      <c r="B50" t="str">
        <f>_xlfn.XLOOKUP(A50,[1]Sheet1!$C:$C,[1]Sheet1!$A:$A)</f>
        <v>https://youtu.be/wJ1mqmbngO0?si=Da6UhpFc_5WlyXh-</v>
      </c>
      <c r="C50" t="s">
        <v>151</v>
      </c>
      <c r="D50" t="str">
        <f>_xlfn.XLOOKUP(B50,Sheet2!B:B,Sheet2!D:D)</f>
        <v>Song 46</v>
      </c>
    </row>
    <row r="51" spans="1:4" x14ac:dyDescent="0.35">
      <c r="A51" t="s">
        <v>55</v>
      </c>
      <c r="B51" t="str">
        <f>_xlfn.XLOOKUP(A51,[1]Sheet1!$C:$C,[1]Sheet1!$A:$A)</f>
        <v>https://youtu.be/K-GPX2PzDKM?si=CujGtpU8GCbhp6KW</v>
      </c>
      <c r="C51" t="s">
        <v>152</v>
      </c>
      <c r="D51" t="str">
        <f>_xlfn.XLOOKUP(B51,Sheet2!B:B,Sheet2!D:D)</f>
        <v>Song 47</v>
      </c>
    </row>
    <row r="52" spans="1:4" x14ac:dyDescent="0.35">
      <c r="B52" t="s">
        <v>153</v>
      </c>
      <c r="C52" t="s">
        <v>154</v>
      </c>
      <c r="D52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4F70-18DA-4695-BE08-A21B50B0AE73}">
  <dimension ref="A1:A52"/>
  <sheetViews>
    <sheetView workbookViewId="0">
      <selection activeCell="B2" sqref="B2"/>
    </sheetView>
  </sheetViews>
  <sheetFormatPr defaultRowHeight="14.5" x14ac:dyDescent="0.35"/>
  <cols>
    <col min="1" max="1" width="82.81640625" bestFit="1" customWidth="1"/>
  </cols>
  <sheetData>
    <row r="1" spans="1:1" x14ac:dyDescent="0.35">
      <c r="A1" t="s">
        <v>56</v>
      </c>
    </row>
    <row r="2" spans="1:1" x14ac:dyDescent="0.35">
      <c r="A2" t="s">
        <v>107</v>
      </c>
    </row>
    <row r="3" spans="1:1" x14ac:dyDescent="0.35">
      <c r="A3" t="s">
        <v>57</v>
      </c>
    </row>
    <row r="4" spans="1:1" x14ac:dyDescent="0.35">
      <c r="A4" t="s">
        <v>58</v>
      </c>
    </row>
    <row r="5" spans="1:1" x14ac:dyDescent="0.35">
      <c r="A5" t="s">
        <v>59</v>
      </c>
    </row>
    <row r="6" spans="1:1" x14ac:dyDescent="0.35">
      <c r="A6" t="s">
        <v>60</v>
      </c>
    </row>
    <row r="7" spans="1:1" x14ac:dyDescent="0.35">
      <c r="A7" t="s">
        <v>61</v>
      </c>
    </row>
    <row r="8" spans="1:1" x14ac:dyDescent="0.35">
      <c r="A8" t="s">
        <v>62</v>
      </c>
    </row>
    <row r="9" spans="1:1" x14ac:dyDescent="0.35">
      <c r="A9" t="s">
        <v>63</v>
      </c>
    </row>
    <row r="10" spans="1:1" x14ac:dyDescent="0.35">
      <c r="A10" t="s">
        <v>64</v>
      </c>
    </row>
    <row r="11" spans="1:1" x14ac:dyDescent="0.35">
      <c r="A11" t="s">
        <v>65</v>
      </c>
    </row>
    <row r="12" spans="1:1" x14ac:dyDescent="0.35">
      <c r="A12" t="s">
        <v>66</v>
      </c>
    </row>
    <row r="13" spans="1:1" x14ac:dyDescent="0.35">
      <c r="A13" t="s">
        <v>67</v>
      </c>
    </row>
    <row r="14" spans="1:1" x14ac:dyDescent="0.35">
      <c r="A14" t="s">
        <v>68</v>
      </c>
    </row>
    <row r="15" spans="1:1" x14ac:dyDescent="0.35">
      <c r="A15" t="s">
        <v>69</v>
      </c>
    </row>
    <row r="16" spans="1:1" x14ac:dyDescent="0.35">
      <c r="A16" t="s">
        <v>70</v>
      </c>
    </row>
    <row r="17" spans="1:1" x14ac:dyDescent="0.35">
      <c r="A17" t="s">
        <v>71</v>
      </c>
    </row>
    <row r="18" spans="1:1" x14ac:dyDescent="0.35">
      <c r="A18" t="s">
        <v>72</v>
      </c>
    </row>
    <row r="19" spans="1:1" x14ac:dyDescent="0.35">
      <c r="A19" t="s">
        <v>73</v>
      </c>
    </row>
    <row r="20" spans="1:1" x14ac:dyDescent="0.35">
      <c r="A20" t="s">
        <v>74</v>
      </c>
    </row>
    <row r="21" spans="1:1" x14ac:dyDescent="0.35">
      <c r="A21" t="s">
        <v>75</v>
      </c>
    </row>
    <row r="22" spans="1:1" x14ac:dyDescent="0.35">
      <c r="A22" t="s">
        <v>76</v>
      </c>
    </row>
    <row r="23" spans="1:1" x14ac:dyDescent="0.35">
      <c r="A23" t="s">
        <v>77</v>
      </c>
    </row>
    <row r="24" spans="1:1" x14ac:dyDescent="0.35">
      <c r="A24" t="s">
        <v>78</v>
      </c>
    </row>
    <row r="25" spans="1:1" x14ac:dyDescent="0.35">
      <c r="A25" t="s">
        <v>79</v>
      </c>
    </row>
    <row r="26" spans="1:1" x14ac:dyDescent="0.35">
      <c r="A26" t="s">
        <v>80</v>
      </c>
    </row>
    <row r="27" spans="1:1" x14ac:dyDescent="0.35">
      <c r="A27" t="s">
        <v>81</v>
      </c>
    </row>
    <row r="28" spans="1:1" x14ac:dyDescent="0.35">
      <c r="A28" t="s">
        <v>82</v>
      </c>
    </row>
    <row r="29" spans="1:1" x14ac:dyDescent="0.35">
      <c r="A29" t="s">
        <v>83</v>
      </c>
    </row>
    <row r="30" spans="1:1" x14ac:dyDescent="0.35">
      <c r="A30" t="s">
        <v>84</v>
      </c>
    </row>
    <row r="31" spans="1:1" x14ac:dyDescent="0.35">
      <c r="A31" t="s">
        <v>85</v>
      </c>
    </row>
    <row r="32" spans="1:1" x14ac:dyDescent="0.35">
      <c r="A32" t="s">
        <v>86</v>
      </c>
    </row>
    <row r="33" spans="1:1" x14ac:dyDescent="0.35">
      <c r="A33" t="s">
        <v>87</v>
      </c>
    </row>
    <row r="34" spans="1:1" x14ac:dyDescent="0.35">
      <c r="A34" t="s">
        <v>88</v>
      </c>
    </row>
    <row r="35" spans="1:1" x14ac:dyDescent="0.35">
      <c r="A35" t="s">
        <v>89</v>
      </c>
    </row>
    <row r="36" spans="1:1" x14ac:dyDescent="0.35">
      <c r="A36" t="s">
        <v>90</v>
      </c>
    </row>
    <row r="37" spans="1:1" x14ac:dyDescent="0.35">
      <c r="A37" t="s">
        <v>91</v>
      </c>
    </row>
    <row r="38" spans="1:1" x14ac:dyDescent="0.35">
      <c r="A38" t="s">
        <v>92</v>
      </c>
    </row>
    <row r="39" spans="1:1" x14ac:dyDescent="0.35">
      <c r="A39" t="s">
        <v>93</v>
      </c>
    </row>
    <row r="40" spans="1:1" x14ac:dyDescent="0.35">
      <c r="A40" t="s">
        <v>94</v>
      </c>
    </row>
    <row r="41" spans="1:1" x14ac:dyDescent="0.35">
      <c r="A41" t="s">
        <v>95</v>
      </c>
    </row>
    <row r="42" spans="1:1" x14ac:dyDescent="0.35">
      <c r="A42" t="s">
        <v>96</v>
      </c>
    </row>
    <row r="43" spans="1:1" x14ac:dyDescent="0.35">
      <c r="A43" t="s">
        <v>97</v>
      </c>
    </row>
    <row r="44" spans="1:1" x14ac:dyDescent="0.35">
      <c r="A44" t="s">
        <v>98</v>
      </c>
    </row>
    <row r="45" spans="1:1" x14ac:dyDescent="0.35">
      <c r="A45" t="s">
        <v>99</v>
      </c>
    </row>
    <row r="46" spans="1:1" x14ac:dyDescent="0.35">
      <c r="A46" t="s">
        <v>100</v>
      </c>
    </row>
    <row r="47" spans="1:1" x14ac:dyDescent="0.35">
      <c r="A47" t="s">
        <v>101</v>
      </c>
    </row>
    <row r="48" spans="1:1" x14ac:dyDescent="0.35">
      <c r="A48" t="s">
        <v>102</v>
      </c>
    </row>
    <row r="49" spans="1:1" x14ac:dyDescent="0.35">
      <c r="A49" t="s">
        <v>103</v>
      </c>
    </row>
    <row r="50" spans="1:1" x14ac:dyDescent="0.35">
      <c r="A50" t="s">
        <v>104</v>
      </c>
    </row>
    <row r="51" spans="1:1" x14ac:dyDescent="0.35">
      <c r="A51" t="s">
        <v>105</v>
      </c>
    </row>
    <row r="52" spans="1:1" x14ac:dyDescent="0.35">
      <c r="A52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5FA1-2310-4068-9C3A-38F324E12175}">
  <dimension ref="A1:F94"/>
  <sheetViews>
    <sheetView topLeftCell="A34" workbookViewId="0">
      <selection activeCell="F37" sqref="F37"/>
    </sheetView>
  </sheetViews>
  <sheetFormatPr defaultRowHeight="14.5" x14ac:dyDescent="0.35"/>
  <cols>
    <col min="1" max="1" width="41.90625" bestFit="1" customWidth="1"/>
    <col min="2" max="2" width="49.36328125" bestFit="1" customWidth="1"/>
    <col min="3" max="3" width="1.7265625" bestFit="1" customWidth="1"/>
    <col min="4" max="4" width="7.08984375" bestFit="1" customWidth="1"/>
    <col min="5" max="5" width="4" bestFit="1" customWidth="1"/>
  </cols>
  <sheetData>
    <row r="1" spans="1:6" x14ac:dyDescent="0.35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tr">
        <f>_xlfn.XLOOKUP(B1,youtube_video_data!B:B,youtube_video_data!C:C)</f>
        <v>Rah Pe Rehte Hai | Namkeen ( 1982 )</v>
      </c>
    </row>
    <row r="2" spans="1:6" x14ac:dyDescent="0.35">
      <c r="A2" t="s">
        <v>155</v>
      </c>
      <c r="F2">
        <f>_xlfn.XLOOKUP(B2,youtube_video_data!B:B,youtube_video_data!C:C)</f>
        <v>0</v>
      </c>
    </row>
    <row r="3" spans="1:6" x14ac:dyDescent="0.35">
      <c r="A3" t="s">
        <v>202</v>
      </c>
      <c r="B3" t="s">
        <v>207</v>
      </c>
      <c r="C3" t="s">
        <v>204</v>
      </c>
      <c r="D3" t="s">
        <v>208</v>
      </c>
      <c r="E3" t="s">
        <v>206</v>
      </c>
      <c r="F3" t="str">
        <f>_xlfn.XLOOKUP(B3,youtube_video_data!B:B,youtube_video_data!C:C)</f>
        <v>Aye Zindagi Hui Kahan Bhool Jiski  | (Namumkin 1988)</v>
      </c>
    </row>
    <row r="4" spans="1:6" x14ac:dyDescent="0.35">
      <c r="A4" t="s">
        <v>156</v>
      </c>
      <c r="F4">
        <f>_xlfn.XLOOKUP(B4,youtube_video_data!B:B,youtube_video_data!C:C)</f>
        <v>0</v>
      </c>
    </row>
    <row r="5" spans="1:6" x14ac:dyDescent="0.35">
      <c r="A5" t="s">
        <v>202</v>
      </c>
      <c r="B5" t="s">
        <v>209</v>
      </c>
      <c r="C5" t="s">
        <v>204</v>
      </c>
      <c r="D5" t="s">
        <v>210</v>
      </c>
      <c r="E5" t="s">
        <v>206</v>
      </c>
      <c r="F5" t="str">
        <f>_xlfn.XLOOKUP(B5,youtube_video_data!B:B,youtube_video_data!C:C)</f>
        <v>Na Jaane Din Kaise (Both Parts) | (Chala Murari Hero Banne 1977)</v>
      </c>
    </row>
    <row r="6" spans="1:6" x14ac:dyDescent="0.35">
      <c r="A6" t="s">
        <v>157</v>
      </c>
      <c r="F6">
        <f>_xlfn.XLOOKUP(B6,youtube_video_data!B:B,youtube_video_data!C:C)</f>
        <v>0</v>
      </c>
    </row>
    <row r="7" spans="1:6" x14ac:dyDescent="0.35">
      <c r="A7" t="s">
        <v>202</v>
      </c>
      <c r="B7" t="s">
        <v>211</v>
      </c>
      <c r="C7" t="s">
        <v>204</v>
      </c>
      <c r="D7" t="s">
        <v>212</v>
      </c>
      <c r="E7" t="s">
        <v>206</v>
      </c>
      <c r="F7" t="str">
        <f>_xlfn.XLOOKUP(B7,youtube_video_data!B:B,youtube_video_data!C:C)</f>
        <v>Main Shayar Badnam | (Namak Haraam 1973)</v>
      </c>
    </row>
    <row r="8" spans="1:6" x14ac:dyDescent="0.35">
      <c r="A8" t="s">
        <v>158</v>
      </c>
      <c r="F8">
        <f>_xlfn.XLOOKUP(B8,youtube_video_data!B:B,youtube_video_data!C:C)</f>
        <v>0</v>
      </c>
    </row>
    <row r="9" spans="1:6" x14ac:dyDescent="0.35">
      <c r="A9" t="s">
        <v>202</v>
      </c>
      <c r="B9" t="s">
        <v>213</v>
      </c>
      <c r="C9" t="s">
        <v>204</v>
      </c>
      <c r="D9" t="s">
        <v>214</v>
      </c>
      <c r="E9" t="s">
        <v>206</v>
      </c>
      <c r="F9" t="str">
        <f>_xlfn.XLOOKUP(B9,youtube_video_data!B:B,youtube_video_data!C:C)</f>
        <v>Mujhko Yuhi Udaas |  (Khushboo (1975)</v>
      </c>
    </row>
    <row r="10" spans="1:6" x14ac:dyDescent="0.35">
      <c r="A10" t="s">
        <v>159</v>
      </c>
      <c r="F10">
        <f>_xlfn.XLOOKUP(B10,youtube_video_data!B:B,youtube_video_data!C:C)</f>
        <v>0</v>
      </c>
    </row>
    <row r="11" spans="1:6" x14ac:dyDescent="0.35">
      <c r="A11" t="s">
        <v>202</v>
      </c>
      <c r="B11" t="s">
        <v>215</v>
      </c>
      <c r="C11" t="s">
        <v>204</v>
      </c>
      <c r="D11" t="s">
        <v>216</v>
      </c>
      <c r="E11" t="s">
        <v>206</v>
      </c>
      <c r="F11" t="str">
        <f>_xlfn.XLOOKUP(B11,youtube_video_data!B:B,youtube_video_data!C:C)</f>
        <v>Tumne Mujhe Dekha | (Teesri Manzil 1966)</v>
      </c>
    </row>
    <row r="12" spans="1:6" x14ac:dyDescent="0.35">
      <c r="A12" t="s">
        <v>160</v>
      </c>
      <c r="F12">
        <f>_xlfn.XLOOKUP(B12,youtube_video_data!B:B,youtube_video_data!C:C)</f>
        <v>0</v>
      </c>
    </row>
    <row r="13" spans="1:6" x14ac:dyDescent="0.35">
      <c r="A13" t="s">
        <v>202</v>
      </c>
      <c r="B13" t="s">
        <v>217</v>
      </c>
      <c r="C13" t="s">
        <v>204</v>
      </c>
      <c r="D13" t="s">
        <v>218</v>
      </c>
      <c r="E13" t="s">
        <v>206</v>
      </c>
      <c r="F13" t="str">
        <f>_xlfn.XLOOKUP(B13,youtube_video_data!B:B,youtube_video_data!C:C)</f>
        <v>A Ri Pawan Dhunde Kise Tera Mann | ( Bemisaal 1982)</v>
      </c>
    </row>
    <row r="14" spans="1:6" x14ac:dyDescent="0.35">
      <c r="A14" t="s">
        <v>161</v>
      </c>
      <c r="F14">
        <f>_xlfn.XLOOKUP(B14,youtube_video_data!B:B,youtube_video_data!C:C)</f>
        <v>0</v>
      </c>
    </row>
    <row r="15" spans="1:6" x14ac:dyDescent="0.35">
      <c r="A15" t="s">
        <v>202</v>
      </c>
      <c r="B15" t="s">
        <v>219</v>
      </c>
      <c r="C15" t="s">
        <v>204</v>
      </c>
      <c r="D15" t="s">
        <v>220</v>
      </c>
      <c r="E15" t="s">
        <v>206</v>
      </c>
      <c r="F15" t="str">
        <f>_xlfn.XLOOKUP(B15,youtube_video_data!B:B,youtube_video_data!C:C)</f>
        <v>Kisi Baat Pe Main Kisise Khafa Hoon | ( Bemisaal 1982)</v>
      </c>
    </row>
    <row r="16" spans="1:6" x14ac:dyDescent="0.35">
      <c r="A16" t="s">
        <v>162</v>
      </c>
      <c r="F16">
        <f>_xlfn.XLOOKUP(B16,youtube_video_data!B:B,youtube_video_data!C:C)</f>
        <v>0</v>
      </c>
    </row>
    <row r="17" spans="1:6" x14ac:dyDescent="0.35">
      <c r="A17" t="s">
        <v>202</v>
      </c>
      <c r="B17" t="s">
        <v>221</v>
      </c>
      <c r="C17" t="s">
        <v>204</v>
      </c>
      <c r="D17" t="s">
        <v>222</v>
      </c>
      <c r="E17" t="s">
        <v>206</v>
      </c>
      <c r="F17" t="str">
        <f>_xlfn.XLOOKUP(B17,youtube_video_data!B:B,youtube_video_data!C:C)</f>
        <v>Sawan Ke Jhoole| (Jurmana 1979)</v>
      </c>
    </row>
    <row r="18" spans="1:6" x14ac:dyDescent="0.35">
      <c r="A18" t="s">
        <v>163</v>
      </c>
      <c r="F18">
        <f>_xlfn.XLOOKUP(B18,youtube_video_data!B:B,youtube_video_data!C:C)</f>
        <v>0</v>
      </c>
    </row>
    <row r="19" spans="1:6" x14ac:dyDescent="0.35">
      <c r="A19" t="s">
        <v>202</v>
      </c>
      <c r="B19" t="s">
        <v>223</v>
      </c>
      <c r="C19" t="s">
        <v>204</v>
      </c>
      <c r="D19" t="s">
        <v>224</v>
      </c>
      <c r="E19" t="s">
        <v>206</v>
      </c>
      <c r="F19" t="str">
        <f>_xlfn.XLOOKUP(B19,youtube_video_data!B:B,youtube_video_data!C:C)</f>
        <v>Oh Hansini | (Zehreela Insaan 1974)</v>
      </c>
    </row>
    <row r="20" spans="1:6" x14ac:dyDescent="0.35">
      <c r="A20" t="s">
        <v>164</v>
      </c>
      <c r="F20">
        <f>_xlfn.XLOOKUP(B20,youtube_video_data!B:B,youtube_video_data!C:C)</f>
        <v>0</v>
      </c>
    </row>
    <row r="21" spans="1:6" x14ac:dyDescent="0.35">
      <c r="A21" t="s">
        <v>202</v>
      </c>
      <c r="B21" t="s">
        <v>225</v>
      </c>
      <c r="C21" t="s">
        <v>204</v>
      </c>
      <c r="D21" t="s">
        <v>226</v>
      </c>
      <c r="E21" t="s">
        <v>206</v>
      </c>
      <c r="F21" t="str">
        <f>_xlfn.XLOOKUP(B21,youtube_video_data!B:B,youtube_video_data!C:C)</f>
        <v>Jidhar Dekhoon Teri Tasveer | (Mahaan 1983)</v>
      </c>
    </row>
    <row r="22" spans="1:6" x14ac:dyDescent="0.35">
      <c r="A22" t="s">
        <v>165</v>
      </c>
      <c r="F22">
        <f>_xlfn.XLOOKUP(B22,youtube_video_data!B:B,youtube_video_data!C:C)</f>
        <v>0</v>
      </c>
    </row>
    <row r="23" spans="1:6" x14ac:dyDescent="0.35">
      <c r="A23" t="s">
        <v>202</v>
      </c>
      <c r="B23" t="s">
        <v>227</v>
      </c>
      <c r="C23" t="s">
        <v>204</v>
      </c>
      <c r="D23" t="s">
        <v>228</v>
      </c>
      <c r="E23" t="s">
        <v>206</v>
      </c>
      <c r="F23" t="str">
        <f>_xlfn.XLOOKUP(B23,youtube_video_data!B:B,youtube_video_data!C:C)</f>
        <v>KYA JAANU SAJAN HOTI HAI | (BAHARON KE SAPNE 1967)</v>
      </c>
    </row>
    <row r="24" spans="1:6" x14ac:dyDescent="0.35">
      <c r="A24" t="s">
        <v>166</v>
      </c>
      <c r="F24">
        <f>_xlfn.XLOOKUP(B24,youtube_video_data!B:B,youtube_video_data!C:C)</f>
        <v>0</v>
      </c>
    </row>
    <row r="25" spans="1:6" x14ac:dyDescent="0.35">
      <c r="A25" t="s">
        <v>202</v>
      </c>
      <c r="B25" t="s">
        <v>229</v>
      </c>
      <c r="C25" t="s">
        <v>204</v>
      </c>
      <c r="D25" t="s">
        <v>230</v>
      </c>
      <c r="E25" t="s">
        <v>206</v>
      </c>
      <c r="F25" t="str">
        <f>_xlfn.XLOOKUP(B25,youtube_video_data!B:B,youtube_video_data!C:C)</f>
        <v>Katra Katra Milti Hai Katra Katra Jeene Do | (Ijaazat 1987)</v>
      </c>
    </row>
    <row r="26" spans="1:6" x14ac:dyDescent="0.35">
      <c r="A26" t="s">
        <v>167</v>
      </c>
      <c r="F26">
        <f>_xlfn.XLOOKUP(B26,youtube_video_data!B:B,youtube_video_data!C:C)</f>
        <v>0</v>
      </c>
    </row>
    <row r="27" spans="1:6" x14ac:dyDescent="0.35">
      <c r="A27" t="s">
        <v>202</v>
      </c>
      <c r="B27" t="s">
        <v>231</v>
      </c>
      <c r="C27" t="s">
        <v>204</v>
      </c>
      <c r="D27" t="s">
        <v>232</v>
      </c>
      <c r="E27" t="s">
        <v>206</v>
      </c>
      <c r="F27" t="str">
        <f>_xlfn.XLOOKUP(B27,youtube_video_data!B:B,youtube_video_data!C:C)</f>
        <v xml:space="preserve">Dhanno Ki Aankhon Me | (Kitaab 1977) </v>
      </c>
    </row>
    <row r="28" spans="1:6" x14ac:dyDescent="0.35">
      <c r="A28" t="s">
        <v>168</v>
      </c>
      <c r="F28">
        <f>_xlfn.XLOOKUP(B28,youtube_video_data!B:B,youtube_video_data!C:C)</f>
        <v>0</v>
      </c>
    </row>
    <row r="29" spans="1:6" x14ac:dyDescent="0.35">
      <c r="A29" t="s">
        <v>202</v>
      </c>
      <c r="B29" t="s">
        <v>233</v>
      </c>
      <c r="C29" t="s">
        <v>204</v>
      </c>
      <c r="D29" t="s">
        <v>234</v>
      </c>
      <c r="E29" t="s">
        <v>206</v>
      </c>
      <c r="F29" t="str">
        <f>_xlfn.XLOOKUP(B29,youtube_video_data!B:B,youtube_video_data!C:C)</f>
        <v>Subha Serial Title Song | (Subah 1987)</v>
      </c>
    </row>
    <row r="30" spans="1:6" x14ac:dyDescent="0.35">
      <c r="A30" t="s">
        <v>169</v>
      </c>
      <c r="F30">
        <f>_xlfn.XLOOKUP(B30,youtube_video_data!B:B,youtube_video_data!C:C)</f>
        <v>0</v>
      </c>
    </row>
    <row r="31" spans="1:6" x14ac:dyDescent="0.35">
      <c r="A31" t="s">
        <v>202</v>
      </c>
      <c r="B31" t="s">
        <v>235</v>
      </c>
      <c r="C31" t="s">
        <v>204</v>
      </c>
      <c r="D31" t="s">
        <v>236</v>
      </c>
      <c r="E31" t="s">
        <v>206</v>
      </c>
      <c r="F31" t="str">
        <f>_xlfn.XLOOKUP(B31,youtube_video_data!B:B,youtube_video_data!C:C)</f>
        <v>Masterji ki aa gayi chitthi | (Kitaab 1977)</v>
      </c>
    </row>
    <row r="32" spans="1:6" x14ac:dyDescent="0.35">
      <c r="A32" t="s">
        <v>170</v>
      </c>
      <c r="F32">
        <f>_xlfn.XLOOKUP(B32,youtube_video_data!B:B,youtube_video_data!C:C)</f>
        <v>0</v>
      </c>
    </row>
    <row r="33" spans="1:6" x14ac:dyDescent="0.35">
      <c r="A33" t="s">
        <v>202</v>
      </c>
      <c r="B33" t="s">
        <v>237</v>
      </c>
      <c r="C33" t="s">
        <v>204</v>
      </c>
      <c r="D33" t="s">
        <v>238</v>
      </c>
      <c r="E33" t="s">
        <v>206</v>
      </c>
      <c r="F33" t="str">
        <f>_xlfn.XLOOKUP(B33,youtube_video_data!B:B,youtube_video_data!C:C)</f>
        <v>Samundar Mein Nahake | (Pukar 1983)</v>
      </c>
    </row>
    <row r="34" spans="1:6" x14ac:dyDescent="0.35">
      <c r="A34" t="s">
        <v>171</v>
      </c>
      <c r="F34">
        <f>_xlfn.XLOOKUP(B34,youtube_video_data!B:B,youtube_video_data!C:C)</f>
        <v>0</v>
      </c>
    </row>
    <row r="35" spans="1:6" x14ac:dyDescent="0.35">
      <c r="A35" t="s">
        <v>202</v>
      </c>
      <c r="B35" t="s">
        <v>239</v>
      </c>
      <c r="C35" t="s">
        <v>204</v>
      </c>
      <c r="D35" t="s">
        <v>240</v>
      </c>
      <c r="E35" t="s">
        <v>206</v>
      </c>
      <c r="F35" t="str">
        <f>_xlfn.XLOOKUP(B35,youtube_video_data!B:B,youtube_video_data!C:C)</f>
        <v>Phir Wahi Raat | (Ghar 1978)</v>
      </c>
    </row>
    <row r="36" spans="1:6" x14ac:dyDescent="0.35">
      <c r="A36" t="s">
        <v>172</v>
      </c>
      <c r="F36">
        <f>_xlfn.XLOOKUP(B36,youtube_video_data!B:B,youtube_video_data!C:C)</f>
        <v>0</v>
      </c>
    </row>
    <row r="37" spans="1:6" x14ac:dyDescent="0.35">
      <c r="A37" t="s">
        <v>202</v>
      </c>
      <c r="B37" t="s">
        <v>241</v>
      </c>
      <c r="C37" t="s">
        <v>204</v>
      </c>
      <c r="D37" t="s">
        <v>242</v>
      </c>
      <c r="E37" t="s">
        <v>206</v>
      </c>
      <c r="F37" t="e">
        <f>_xlfn.XLOOKUP(B37,youtube_video_data!B:B,youtube_video_data!C:C)</f>
        <v>#N/A</v>
      </c>
    </row>
    <row r="38" spans="1:6" x14ac:dyDescent="0.35">
      <c r="A38" t="s">
        <v>173</v>
      </c>
      <c r="F38">
        <f>_xlfn.XLOOKUP(B38,youtube_video_data!B:B,youtube_video_data!C:C)</f>
        <v>0</v>
      </c>
    </row>
    <row r="39" spans="1:6" x14ac:dyDescent="0.35">
      <c r="A39" t="s">
        <v>202</v>
      </c>
      <c r="B39" t="s">
        <v>243</v>
      </c>
      <c r="C39" t="s">
        <v>204</v>
      </c>
      <c r="D39" t="s">
        <v>244</v>
      </c>
      <c r="E39" t="s">
        <v>206</v>
      </c>
      <c r="F39" t="str">
        <f>_xlfn.XLOOKUP(B39,youtube_video_data!B:B,youtube_video_data!C:C)</f>
        <v>Phulon Ki Duniya Se | (Rickshawala 1973)</v>
      </c>
    </row>
    <row r="40" spans="1:6" x14ac:dyDescent="0.35">
      <c r="A40" t="s">
        <v>174</v>
      </c>
      <c r="F40">
        <f>_xlfn.XLOOKUP(B40,youtube_video_data!B:B,youtube_video_data!C:C)</f>
        <v>0</v>
      </c>
    </row>
    <row r="41" spans="1:6" x14ac:dyDescent="0.35">
      <c r="A41" t="s">
        <v>202</v>
      </c>
      <c r="B41" t="s">
        <v>245</v>
      </c>
      <c r="C41" t="s">
        <v>204</v>
      </c>
      <c r="D41" t="s">
        <v>246</v>
      </c>
      <c r="E41" t="s">
        <v>206</v>
      </c>
      <c r="F41" t="str">
        <f>_xlfn.XLOOKUP(B41,youtube_video_data!B:B,youtube_video_data!C:C)</f>
        <v>Maine Kaha Zid Chhod | (Rickshawala 1973)</v>
      </c>
    </row>
    <row r="42" spans="1:6" x14ac:dyDescent="0.35">
      <c r="A42" t="s">
        <v>175</v>
      </c>
      <c r="F42">
        <f>_xlfn.XLOOKUP(B42,youtube_video_data!B:B,youtube_video_data!C:C)</f>
        <v>0</v>
      </c>
    </row>
    <row r="43" spans="1:6" x14ac:dyDescent="0.35">
      <c r="A43" t="s">
        <v>202</v>
      </c>
      <c r="B43" t="s">
        <v>247</v>
      </c>
      <c r="C43" t="s">
        <v>204</v>
      </c>
      <c r="D43" t="s">
        <v>248</v>
      </c>
      <c r="E43" t="s">
        <v>206</v>
      </c>
      <c r="F43" t="str">
        <f>_xlfn.XLOOKUP(B43,youtube_video_data!B:B,youtube_video_data!C:C)</f>
        <v>Ek Baat Dil Mein Aayi Hai | (Rahi Badal Gaye 1984)</v>
      </c>
    </row>
    <row r="44" spans="1:6" x14ac:dyDescent="0.35">
      <c r="A44" t="s">
        <v>176</v>
      </c>
      <c r="F44">
        <f>_xlfn.XLOOKUP(B44,youtube_video_data!B:B,youtube_video_data!C:C)</f>
        <v>0</v>
      </c>
    </row>
    <row r="45" spans="1:6" x14ac:dyDescent="0.35">
      <c r="A45" t="s">
        <v>202</v>
      </c>
      <c r="B45" t="s">
        <v>249</v>
      </c>
      <c r="C45" t="s">
        <v>204</v>
      </c>
      <c r="D45" t="s">
        <v>250</v>
      </c>
      <c r="E45" t="s">
        <v>206</v>
      </c>
      <c r="F45" t="str">
        <f>_xlfn.XLOOKUP(B45,youtube_video_data!B:B,youtube_video_data!C:C)</f>
        <v>Silli Hawa Chhoo Gai | Libaas</v>
      </c>
    </row>
    <row r="46" spans="1:6" x14ac:dyDescent="0.35">
      <c r="A46" t="s">
        <v>177</v>
      </c>
      <c r="F46">
        <f>_xlfn.XLOOKUP(B46,youtube_video_data!B:B,youtube_video_data!C:C)</f>
        <v>0</v>
      </c>
    </row>
    <row r="47" spans="1:6" x14ac:dyDescent="0.35">
      <c r="A47" t="s">
        <v>202</v>
      </c>
      <c r="B47" t="s">
        <v>251</v>
      </c>
      <c r="C47" t="s">
        <v>204</v>
      </c>
      <c r="D47" t="s">
        <v>252</v>
      </c>
      <c r="E47" t="s">
        <v>206</v>
      </c>
      <c r="F47" t="str">
        <f>_xlfn.XLOOKUP(B47,youtube_video_data!B:B,youtube_video_data!C:C)</f>
        <v xml:space="preserve">Jahan Pe Savera Ho Basera | (Baseraa 1981) </v>
      </c>
    </row>
    <row r="48" spans="1:6" x14ac:dyDescent="0.35">
      <c r="A48" t="s">
        <v>178</v>
      </c>
      <c r="F48">
        <f>_xlfn.XLOOKUP(B48,youtube_video_data!B:B,youtube_video_data!C:C)</f>
        <v>0</v>
      </c>
    </row>
    <row r="49" spans="1:6" x14ac:dyDescent="0.35">
      <c r="A49" t="s">
        <v>202</v>
      </c>
      <c r="B49" t="s">
        <v>253</v>
      </c>
      <c r="C49" t="s">
        <v>204</v>
      </c>
      <c r="D49" t="s">
        <v>254</v>
      </c>
      <c r="E49" t="s">
        <v>206</v>
      </c>
      <c r="F49" t="str">
        <f>_xlfn.XLOOKUP(B49,youtube_video_data!B:B,youtube_video_data!C:C)</f>
        <v>Kitne Sapne Kitne Armaan | (Mere Jeevan Saathi 1972)</v>
      </c>
    </row>
    <row r="50" spans="1:6" x14ac:dyDescent="0.35">
      <c r="A50" t="s">
        <v>179</v>
      </c>
      <c r="F50">
        <f>_xlfn.XLOOKUP(B50,youtube_video_data!B:B,youtube_video_data!C:C)</f>
        <v>0</v>
      </c>
    </row>
    <row r="51" spans="1:6" x14ac:dyDescent="0.35">
      <c r="A51" t="s">
        <v>202</v>
      </c>
      <c r="B51" t="s">
        <v>255</v>
      </c>
      <c r="C51" t="s">
        <v>204</v>
      </c>
      <c r="D51" t="s">
        <v>256</v>
      </c>
      <c r="E51" t="s">
        <v>206</v>
      </c>
      <c r="F51" t="str">
        <f>_xlfn.XLOOKUP(B51,youtube_video_data!B:B,youtube_video_data!C:C)</f>
        <v>Jab Chaha Yaara Tumne |(Zabardast 1985)</v>
      </c>
    </row>
    <row r="52" spans="1:6" x14ac:dyDescent="0.35">
      <c r="A52" t="s">
        <v>180</v>
      </c>
      <c r="F52">
        <f>_xlfn.XLOOKUP(B52,youtube_video_data!B:B,youtube_video_data!C:C)</f>
        <v>0</v>
      </c>
    </row>
    <row r="53" spans="1:6" x14ac:dyDescent="0.35">
      <c r="A53" t="s">
        <v>202</v>
      </c>
      <c r="B53" t="s">
        <v>257</v>
      </c>
      <c r="C53" t="s">
        <v>204</v>
      </c>
      <c r="D53" t="s">
        <v>258</v>
      </c>
      <c r="E53" t="s">
        <v>206</v>
      </c>
      <c r="F53" t="str">
        <f>_xlfn.XLOOKUP(B53,youtube_video_data!B:B,youtube_video_data!C:C)</f>
        <v>Pyar Jab Na Diya Zindagi Ne Kabhi| (Sitamgar 1985)</v>
      </c>
    </row>
    <row r="54" spans="1:6" x14ac:dyDescent="0.35">
      <c r="A54" t="s">
        <v>181</v>
      </c>
      <c r="F54">
        <f>_xlfn.XLOOKUP(B54,youtube_video_data!B:B,youtube_video_data!C:C)</f>
        <v>0</v>
      </c>
    </row>
    <row r="55" spans="1:6" x14ac:dyDescent="0.35">
      <c r="A55" t="s">
        <v>202</v>
      </c>
      <c r="B55" t="s">
        <v>259</v>
      </c>
      <c r="C55" t="s">
        <v>204</v>
      </c>
      <c r="D55" t="s">
        <v>260</v>
      </c>
      <c r="E55" t="s">
        <v>206</v>
      </c>
      <c r="F55" t="str">
        <f>_xlfn.XLOOKUP(B55,youtube_video_data!B:B,youtube_video_data!C:C)</f>
        <v xml:space="preserve">PHIRTE HAI KABSE DARBADAR | (Duniya 1984) </v>
      </c>
    </row>
    <row r="56" spans="1:6" x14ac:dyDescent="0.35">
      <c r="A56" t="s">
        <v>182</v>
      </c>
      <c r="F56">
        <f>_xlfn.XLOOKUP(B56,youtube_video_data!B:B,youtube_video_data!C:C)</f>
        <v>0</v>
      </c>
    </row>
    <row r="57" spans="1:6" x14ac:dyDescent="0.35">
      <c r="A57" t="s">
        <v>202</v>
      </c>
      <c r="B57" t="s">
        <v>261</v>
      </c>
      <c r="C57" t="s">
        <v>204</v>
      </c>
      <c r="D57" t="s">
        <v>262</v>
      </c>
      <c r="E57" t="s">
        <v>206</v>
      </c>
      <c r="F57" t="str">
        <f>_xlfn.XLOOKUP(B57,youtube_video_data!B:B,youtube_video_data!C:C)</f>
        <v>Thokar Mein Hai Meri Sara Zamana 4K | (Shehzada 1972)</v>
      </c>
    </row>
    <row r="58" spans="1:6" x14ac:dyDescent="0.35">
      <c r="A58" t="s">
        <v>183</v>
      </c>
      <c r="F58">
        <f>_xlfn.XLOOKUP(B58,youtube_video_data!B:B,youtube_video_data!C:C)</f>
        <v>0</v>
      </c>
    </row>
    <row r="59" spans="1:6" x14ac:dyDescent="0.35">
      <c r="A59" t="s">
        <v>202</v>
      </c>
      <c r="B59" t="s">
        <v>263</v>
      </c>
      <c r="C59" t="s">
        <v>204</v>
      </c>
      <c r="D59" t="s">
        <v>264</v>
      </c>
      <c r="E59" t="s">
        <v>206</v>
      </c>
      <c r="F59" t="str">
        <f>_xlfn.XLOOKUP(B59,youtube_video_data!B:B,youtube_video_data!C:C)</f>
        <v>Gumsum Kyun Hai Sanam | (Bhala Manas 1979)</v>
      </c>
    </row>
    <row r="60" spans="1:6" x14ac:dyDescent="0.35">
      <c r="A60" t="s">
        <v>184</v>
      </c>
      <c r="F60">
        <f>_xlfn.XLOOKUP(B60,youtube_video_data!B:B,youtube_video_data!C:C)</f>
        <v>0</v>
      </c>
    </row>
    <row r="61" spans="1:6" x14ac:dyDescent="0.35">
      <c r="A61" t="s">
        <v>202</v>
      </c>
      <c r="B61" t="s">
        <v>265</v>
      </c>
      <c r="C61" t="s">
        <v>204</v>
      </c>
      <c r="D61" t="s">
        <v>266</v>
      </c>
      <c r="E61" t="s">
        <v>206</v>
      </c>
      <c r="F61" t="str">
        <f>_xlfn.XLOOKUP(B61,youtube_video_data!B:B,youtube_video_data!C:C)</f>
        <v>Jaan Pehchan to Pehle se thi | (Bhala Manus 1979)</v>
      </c>
    </row>
    <row r="62" spans="1:6" x14ac:dyDescent="0.35">
      <c r="A62" t="s">
        <v>185</v>
      </c>
      <c r="F62">
        <f>_xlfn.XLOOKUP(B62,youtube_video_data!B:B,youtube_video_data!C:C)</f>
        <v>0</v>
      </c>
    </row>
    <row r="63" spans="1:6" x14ac:dyDescent="0.35">
      <c r="A63" t="s">
        <v>202</v>
      </c>
      <c r="B63" t="s">
        <v>267</v>
      </c>
      <c r="C63" t="s">
        <v>204</v>
      </c>
      <c r="D63" t="s">
        <v>268</v>
      </c>
      <c r="E63" t="s">
        <v>206</v>
      </c>
      <c r="F63" t="str">
        <f>_xlfn.XLOOKUP(B63,youtube_video_data!B:B,youtube_video_data!C:C)</f>
        <v>Yeh Zindagi Kuch Bhi Sahi |(Romance 1983)</v>
      </c>
    </row>
    <row r="64" spans="1:6" x14ac:dyDescent="0.35">
      <c r="A64" t="s">
        <v>186</v>
      </c>
      <c r="F64">
        <f>_xlfn.XLOOKUP(B64,youtube_video_data!B:B,youtube_video_data!C:C)</f>
        <v>0</v>
      </c>
    </row>
    <row r="65" spans="1:6" x14ac:dyDescent="0.35">
      <c r="A65" t="s">
        <v>202</v>
      </c>
      <c r="B65" t="s">
        <v>269</v>
      </c>
      <c r="C65" t="s">
        <v>204</v>
      </c>
      <c r="D65" t="s">
        <v>270</v>
      </c>
      <c r="E65" t="s">
        <v>206</v>
      </c>
      <c r="F65" t="str">
        <f>_xlfn.XLOOKUP(B65,youtube_video_data!B:B,youtube_video_data!C:C)</f>
        <v>Tum Bin Jaoon Kahan |(Pyar Ka Mausam 1969)</v>
      </c>
    </row>
    <row r="66" spans="1:6" x14ac:dyDescent="0.35">
      <c r="A66" t="s">
        <v>187</v>
      </c>
      <c r="F66">
        <f>_xlfn.XLOOKUP(B66,youtube_video_data!B:B,youtube_video_data!C:C)</f>
        <v>0</v>
      </c>
    </row>
    <row r="67" spans="1:6" x14ac:dyDescent="0.35">
      <c r="A67" t="s">
        <v>202</v>
      </c>
      <c r="B67" t="s">
        <v>271</v>
      </c>
      <c r="C67" t="s">
        <v>204</v>
      </c>
      <c r="D67" t="s">
        <v>272</v>
      </c>
      <c r="E67" t="s">
        <v>206</v>
      </c>
      <c r="F67" t="str">
        <f>_xlfn.XLOOKUP(B67,youtube_video_data!B:B,youtube_video_data!C:C)</f>
        <v>Na Koi Dil Mein Samaya|( Aa Gale Lag Jaa 1973)</v>
      </c>
    </row>
    <row r="68" spans="1:6" x14ac:dyDescent="0.35">
      <c r="A68" t="s">
        <v>188</v>
      </c>
      <c r="F68">
        <f>_xlfn.XLOOKUP(B68,youtube_video_data!B:B,youtube_video_data!C:C)</f>
        <v>0</v>
      </c>
    </row>
    <row r="69" spans="1:6" x14ac:dyDescent="0.35">
      <c r="A69" t="s">
        <v>202</v>
      </c>
      <c r="B69" t="s">
        <v>273</v>
      </c>
      <c r="C69" t="s">
        <v>204</v>
      </c>
      <c r="D69" t="s">
        <v>274</v>
      </c>
      <c r="E69" t="s">
        <v>206</v>
      </c>
      <c r="F69" t="str">
        <f>_xlfn.XLOOKUP(B69,youtube_video_data!B:B,youtube_video_data!C:C)</f>
        <v>Is Mod Se Jaate Hain| (Aandhi 1975 Songs)</v>
      </c>
    </row>
    <row r="70" spans="1:6" x14ac:dyDescent="0.35">
      <c r="A70" t="s">
        <v>189</v>
      </c>
      <c r="F70">
        <f>_xlfn.XLOOKUP(B70,youtube_video_data!B:B,youtube_video_data!C:C)</f>
        <v>0</v>
      </c>
    </row>
    <row r="71" spans="1:6" x14ac:dyDescent="0.35">
      <c r="A71" t="s">
        <v>202</v>
      </c>
      <c r="B71" t="s">
        <v>275</v>
      </c>
      <c r="C71" t="s">
        <v>204</v>
      </c>
      <c r="D71" t="s">
        <v>276</v>
      </c>
      <c r="E71" t="s">
        <v>206</v>
      </c>
      <c r="F71" t="str">
        <f>_xlfn.XLOOKUP(B71,youtube_video_data!B:B,youtube_video_data!C:C)</f>
        <v>AAJA AAJA MERI JAAN | (Aja Meri Jaan)</v>
      </c>
    </row>
    <row r="72" spans="1:6" x14ac:dyDescent="0.35">
      <c r="A72" t="s">
        <v>190</v>
      </c>
      <c r="F72">
        <f>_xlfn.XLOOKUP(B72,youtube_video_data!B:B,youtube_video_data!C:C)</f>
        <v>0</v>
      </c>
    </row>
    <row r="73" spans="1:6" x14ac:dyDescent="0.35">
      <c r="A73" t="s">
        <v>202</v>
      </c>
      <c r="B73" t="s">
        <v>277</v>
      </c>
      <c r="C73" t="s">
        <v>204</v>
      </c>
      <c r="D73" t="s">
        <v>278</v>
      </c>
      <c r="E73" t="s">
        <v>206</v>
      </c>
      <c r="F73" t="str">
        <f>_xlfn.XLOOKUP(B73,youtube_video_data!B:B,youtube_video_data!C:C)</f>
        <v>Shikwa Koi Tumse Na Hai | (Joota Kahin Ka 1979)</v>
      </c>
    </row>
    <row r="74" spans="1:6" x14ac:dyDescent="0.35">
      <c r="A74" t="s">
        <v>191</v>
      </c>
      <c r="F74">
        <f>_xlfn.XLOOKUP(B74,youtube_video_data!B:B,youtube_video_data!C:C)</f>
        <v>0</v>
      </c>
    </row>
    <row r="75" spans="1:6" x14ac:dyDescent="0.35">
      <c r="A75" t="s">
        <v>202</v>
      </c>
      <c r="B75" t="s">
        <v>279</v>
      </c>
      <c r="C75" t="s">
        <v>204</v>
      </c>
      <c r="D75" t="s">
        <v>280</v>
      </c>
      <c r="E75" t="s">
        <v>206</v>
      </c>
      <c r="F75" t="str">
        <f>_xlfn.XLOOKUP(B75,youtube_video_data!B:B,youtube_video_data!C:C)</f>
        <v>Bade Achhe Lagte Hain  | (Balika Badhu 1976)</v>
      </c>
    </row>
    <row r="76" spans="1:6" x14ac:dyDescent="0.35">
      <c r="A76" t="s">
        <v>192</v>
      </c>
      <c r="F76">
        <f>_xlfn.XLOOKUP(B76,youtube_video_data!B:B,youtube_video_data!C:C)</f>
        <v>0</v>
      </c>
    </row>
    <row r="77" spans="1:6" x14ac:dyDescent="0.35">
      <c r="A77" t="s">
        <v>202</v>
      </c>
      <c r="B77" t="s">
        <v>281</v>
      </c>
      <c r="C77" t="s">
        <v>204</v>
      </c>
      <c r="D77" t="s">
        <v>282</v>
      </c>
      <c r="E77" t="s">
        <v>206</v>
      </c>
      <c r="F77" t="str">
        <f>_xlfn.XLOOKUP(B77,youtube_video_data!B:B,youtube_video_data!C:C)</f>
        <v>Kaho Kahan Chale Jahan Tum Le Chalo| (Bulundi 1981)</v>
      </c>
    </row>
    <row r="78" spans="1:6" x14ac:dyDescent="0.35">
      <c r="A78" t="s">
        <v>193</v>
      </c>
      <c r="F78">
        <f>_xlfn.XLOOKUP(B78,youtube_video_data!B:B,youtube_video_data!C:C)</f>
        <v>0</v>
      </c>
    </row>
    <row r="79" spans="1:6" x14ac:dyDescent="0.35">
      <c r="A79" t="s">
        <v>202</v>
      </c>
      <c r="B79" t="s">
        <v>283</v>
      </c>
      <c r="C79" t="s">
        <v>204</v>
      </c>
      <c r="D79" t="s">
        <v>284</v>
      </c>
      <c r="E79" t="s">
        <v>206</v>
      </c>
      <c r="F79" t="str">
        <f>_xlfn.XLOOKUP(B79,youtube_video_data!B:B,youtube_video_data!C:C)</f>
        <v>Jeena To Hai Par Ae Dil Kahan | DAULAT KE DUSHMAN-PANCH DUSHMAN-1981(73)</v>
      </c>
    </row>
    <row r="80" spans="1:6" x14ac:dyDescent="0.35">
      <c r="A80" t="s">
        <v>194</v>
      </c>
      <c r="F80">
        <f>_xlfn.XLOOKUP(B80,youtube_video_data!B:B,youtube_video_data!C:C)</f>
        <v>0</v>
      </c>
    </row>
    <row r="81" spans="1:6" x14ac:dyDescent="0.35">
      <c r="A81" t="s">
        <v>202</v>
      </c>
      <c r="B81" t="s">
        <v>285</v>
      </c>
      <c r="C81" t="s">
        <v>204</v>
      </c>
      <c r="D81" t="s">
        <v>286</v>
      </c>
      <c r="E81" t="s">
        <v>206</v>
      </c>
      <c r="F81" t="str">
        <f>_xlfn.XLOOKUP(B81,youtube_video_data!B:B,youtube_video_data!C:C)</f>
        <v>Tum Jo Mile To Laga Hai Jaise Mili Zindagi | (Drohi 1992)</v>
      </c>
    </row>
    <row r="82" spans="1:6" x14ac:dyDescent="0.35">
      <c r="A82" t="s">
        <v>195</v>
      </c>
      <c r="F82">
        <f>_xlfn.XLOOKUP(B82,youtube_video_data!B:B,youtube_video_data!C:C)</f>
        <v>0</v>
      </c>
    </row>
    <row r="83" spans="1:6" x14ac:dyDescent="0.35">
      <c r="A83" t="s">
        <v>202</v>
      </c>
      <c r="B83" t="s">
        <v>287</v>
      </c>
      <c r="C83" t="s">
        <v>204</v>
      </c>
      <c r="D83" t="s">
        <v>288</v>
      </c>
      <c r="E83" t="s">
        <v>206</v>
      </c>
      <c r="F83" t="str">
        <f>_xlfn.XLOOKUP(B83,youtube_video_data!B:B,youtube_video_data!C:C)</f>
        <v>Badal Jo Barse To Bheege Hum| (Gardish 1993)</v>
      </c>
    </row>
    <row r="84" spans="1:6" x14ac:dyDescent="0.35">
      <c r="A84" t="s">
        <v>196</v>
      </c>
      <c r="F84">
        <f>_xlfn.XLOOKUP(B84,youtube_video_data!B:B,youtube_video_data!C:C)</f>
        <v>0</v>
      </c>
    </row>
    <row r="85" spans="1:6" x14ac:dyDescent="0.35">
      <c r="A85" t="s">
        <v>202</v>
      </c>
      <c r="B85" t="s">
        <v>289</v>
      </c>
      <c r="C85" t="s">
        <v>204</v>
      </c>
      <c r="D85" t="s">
        <v>290</v>
      </c>
      <c r="E85" t="s">
        <v>206</v>
      </c>
      <c r="F85" t="str">
        <f>_xlfn.XLOOKUP(B85,youtube_video_data!B:B,youtube_video_data!C:C)</f>
        <v>Kya Nazare Kya Sitare | (Jheel Ke Us Paar 1973)</v>
      </c>
    </row>
    <row r="86" spans="1:6" x14ac:dyDescent="0.35">
      <c r="A86" t="s">
        <v>197</v>
      </c>
      <c r="F86">
        <f>_xlfn.XLOOKUP(B86,youtube_video_data!B:B,youtube_video_data!C:C)</f>
        <v>0</v>
      </c>
    </row>
    <row r="87" spans="1:6" x14ac:dyDescent="0.35">
      <c r="A87" t="s">
        <v>202</v>
      </c>
      <c r="B87" t="s">
        <v>291</v>
      </c>
      <c r="C87" t="s">
        <v>204</v>
      </c>
      <c r="D87" t="s">
        <v>292</v>
      </c>
      <c r="E87" t="s">
        <v>206</v>
      </c>
      <c r="F87" t="str">
        <f>_xlfn.XLOOKUP(B87,youtube_video_data!B:B,youtube_video_data!C:C)</f>
        <v>Tum Ho Mere Dil Ki Dhadkan | (Manzil 1979)</v>
      </c>
    </row>
    <row r="88" spans="1:6" x14ac:dyDescent="0.35">
      <c r="A88" t="s">
        <v>198</v>
      </c>
      <c r="F88">
        <f>_xlfn.XLOOKUP(B88,youtube_video_data!B:B,youtube_video_data!C:C)</f>
        <v>0</v>
      </c>
    </row>
    <row r="89" spans="1:6" x14ac:dyDescent="0.35">
      <c r="A89" t="s">
        <v>202</v>
      </c>
      <c r="B89" t="s">
        <v>293</v>
      </c>
      <c r="C89" t="s">
        <v>204</v>
      </c>
      <c r="D89" t="s">
        <v>294</v>
      </c>
      <c r="E89" t="s">
        <v>206</v>
      </c>
      <c r="F89" t="e">
        <f>_xlfn.XLOOKUP(B89,youtube_video_data!B:B,youtube_video_data!C:C)</f>
        <v>#N/A</v>
      </c>
    </row>
    <row r="90" spans="1:6" x14ac:dyDescent="0.35">
      <c r="A90" t="s">
        <v>199</v>
      </c>
      <c r="F90">
        <f>_xlfn.XLOOKUP(B90,youtube_video_data!B:B,youtube_video_data!C:C)</f>
        <v>0</v>
      </c>
    </row>
    <row r="91" spans="1:6" x14ac:dyDescent="0.35">
      <c r="A91" t="s">
        <v>202</v>
      </c>
      <c r="B91" t="s">
        <v>295</v>
      </c>
      <c r="C91" t="s">
        <v>204</v>
      </c>
      <c r="D91" t="s">
        <v>296</v>
      </c>
      <c r="E91" t="s">
        <v>206</v>
      </c>
      <c r="F91" t="str">
        <f>_xlfn.XLOOKUP(B91,youtube_video_data!B:B,youtube_video_data!C:C)</f>
        <v xml:space="preserve">Kaanta Lagaa| (Samadhi 1972) </v>
      </c>
    </row>
    <row r="92" spans="1:6" x14ac:dyDescent="0.35">
      <c r="A92" t="s">
        <v>200</v>
      </c>
      <c r="F92">
        <f>_xlfn.XLOOKUP(B92,youtube_video_data!B:B,youtube_video_data!C:C)</f>
        <v>0</v>
      </c>
    </row>
    <row r="93" spans="1:6" x14ac:dyDescent="0.35">
      <c r="A93" t="s">
        <v>202</v>
      </c>
      <c r="B93" t="s">
        <v>297</v>
      </c>
      <c r="C93" t="s">
        <v>204</v>
      </c>
      <c r="D93" t="s">
        <v>298</v>
      </c>
      <c r="E93" t="s">
        <v>206</v>
      </c>
      <c r="F93" t="str">
        <f>_xlfn.XLOOKUP(B93,youtube_video_data!B:B,youtube_video_data!C:C)</f>
        <v>Jaane Jaan Dhoondta Phir Raha | (Jawani Diwani 1972)</v>
      </c>
    </row>
    <row r="94" spans="1:6" x14ac:dyDescent="0.35">
      <c r="A9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youtube_video_data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Arnab Das</cp:lastModifiedBy>
  <dcterms:created xsi:type="dcterms:W3CDTF">2025-11-24T06:03:53Z</dcterms:created>
  <dcterms:modified xsi:type="dcterms:W3CDTF">2025-11-24T08:41:55Z</dcterms:modified>
</cp:coreProperties>
</file>